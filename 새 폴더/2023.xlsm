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새 폴더\"/>
    </mc:Choice>
  </mc:AlternateContent>
  <bookViews>
    <workbookView xWindow="0" yWindow="0" windowWidth="23040" windowHeight="9000" activeTab="2"/>
  </bookViews>
  <sheets>
    <sheet name="신청서" sheetId="1" r:id="rId1"/>
    <sheet name="담임및학과" sheetId="3" state="hidden" r:id="rId2"/>
    <sheet name="데이터" sheetId="2" r:id="rId3"/>
  </sheets>
  <definedNames>
    <definedName name="_xlnm.Print_Area" localSheetId="0">신청서!$A$1:$P$26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G8" i="1" s="1"/>
  <c r="A216" i="2" l="1"/>
  <c r="F216" i="2" s="1"/>
  <c r="A215" i="2"/>
  <c r="F215" i="2" s="1"/>
  <c r="A214" i="2"/>
  <c r="F214" i="2" s="1"/>
  <c r="A213" i="2"/>
  <c r="F213" i="2" s="1"/>
  <c r="A212" i="2"/>
  <c r="F212" i="2" s="1"/>
  <c r="A211" i="2"/>
  <c r="F211" i="2" s="1"/>
  <c r="A210" i="2"/>
  <c r="F210" i="2" s="1"/>
  <c r="A209" i="2"/>
  <c r="F209" i="2" s="1"/>
  <c r="A208" i="2"/>
  <c r="F208" i="2" s="1"/>
  <c r="A207" i="2"/>
  <c r="F207" i="2" s="1"/>
  <c r="A206" i="2"/>
  <c r="F206" i="2" s="1"/>
  <c r="A205" i="2"/>
  <c r="F205" i="2" s="1"/>
  <c r="A204" i="2"/>
  <c r="F204" i="2" s="1"/>
  <c r="A203" i="2"/>
  <c r="F203" i="2" s="1"/>
  <c r="A202" i="2"/>
  <c r="F202" i="2" s="1"/>
  <c r="A201" i="2"/>
  <c r="F201" i="2" s="1"/>
  <c r="A200" i="2"/>
  <c r="F200" i="2" s="1"/>
  <c r="A199" i="2"/>
  <c r="F199" i="2" s="1"/>
  <c r="A198" i="2"/>
  <c r="F198" i="2" s="1"/>
  <c r="A197" i="2"/>
  <c r="F197" i="2" s="1"/>
  <c r="A196" i="2"/>
  <c r="F196" i="2" s="1"/>
  <c r="A195" i="2"/>
  <c r="F195" i="2" s="1"/>
  <c r="A194" i="2"/>
  <c r="F194" i="2" s="1"/>
  <c r="A193" i="2"/>
  <c r="F193" i="2" s="1"/>
  <c r="A192" i="2"/>
  <c r="F192" i="2" s="1"/>
  <c r="A191" i="2"/>
  <c r="F191" i="2" s="1"/>
  <c r="A190" i="2"/>
  <c r="F190" i="2" s="1"/>
  <c r="A189" i="2"/>
  <c r="F189" i="2" s="1"/>
  <c r="A188" i="2"/>
  <c r="F188" i="2" s="1"/>
  <c r="A187" i="2"/>
  <c r="F187" i="2" s="1"/>
  <c r="A186" i="2"/>
  <c r="F186" i="2" s="1"/>
  <c r="A185" i="2"/>
  <c r="F185" i="2" s="1"/>
  <c r="A184" i="2"/>
  <c r="F184" i="2" s="1"/>
  <c r="A183" i="2"/>
  <c r="F183" i="2" s="1"/>
  <c r="A182" i="2"/>
  <c r="F182" i="2" s="1"/>
  <c r="A181" i="2"/>
  <c r="F181" i="2" s="1"/>
  <c r="A180" i="2"/>
  <c r="F180" i="2" s="1"/>
  <c r="A179" i="2"/>
  <c r="F179" i="2" s="1"/>
  <c r="A178" i="2"/>
  <c r="F178" i="2" s="1"/>
  <c r="A177" i="2"/>
  <c r="F177" i="2" s="1"/>
  <c r="A176" i="2"/>
  <c r="F176" i="2" s="1"/>
  <c r="A175" i="2"/>
  <c r="F175" i="2" s="1"/>
  <c r="A174" i="2"/>
  <c r="F174" i="2" s="1"/>
  <c r="A173" i="2"/>
  <c r="F173" i="2" s="1"/>
  <c r="A172" i="2"/>
  <c r="F172" i="2" s="1"/>
  <c r="A171" i="2"/>
  <c r="F171" i="2" s="1"/>
  <c r="A170" i="2"/>
  <c r="F170" i="2" s="1"/>
  <c r="A169" i="2"/>
  <c r="F169" i="2" s="1"/>
  <c r="A168" i="2"/>
  <c r="F168" i="2" s="1"/>
  <c r="A167" i="2"/>
  <c r="F167" i="2" s="1"/>
  <c r="A166" i="2"/>
  <c r="F166" i="2" s="1"/>
  <c r="A165" i="2"/>
  <c r="F165" i="2" s="1"/>
  <c r="A164" i="2"/>
  <c r="F164" i="2" s="1"/>
  <c r="A163" i="2"/>
  <c r="F163" i="2" s="1"/>
  <c r="A162" i="2"/>
  <c r="F162" i="2" s="1"/>
  <c r="A161" i="2"/>
  <c r="F161" i="2" s="1"/>
  <c r="A160" i="2"/>
  <c r="F160" i="2" s="1"/>
  <c r="A159" i="2"/>
  <c r="F159" i="2" s="1"/>
  <c r="A158" i="2"/>
  <c r="F158" i="2" s="1"/>
  <c r="A157" i="2"/>
  <c r="F157" i="2" s="1"/>
  <c r="A156" i="2"/>
  <c r="F156" i="2" s="1"/>
  <c r="A155" i="2"/>
  <c r="F155" i="2" s="1"/>
  <c r="A154" i="2"/>
  <c r="F154" i="2" s="1"/>
  <c r="A153" i="2"/>
  <c r="F153" i="2" s="1"/>
  <c r="A152" i="2"/>
  <c r="F152" i="2" s="1"/>
  <c r="A151" i="2"/>
  <c r="F151" i="2" s="1"/>
  <c r="A150" i="2"/>
  <c r="F150" i="2" s="1"/>
  <c r="A149" i="2"/>
  <c r="F149" i="2" s="1"/>
  <c r="A148" i="2"/>
  <c r="F148" i="2" s="1"/>
  <c r="A147" i="2"/>
  <c r="F147" i="2" s="1"/>
  <c r="A146" i="2"/>
  <c r="F146" i="2" s="1"/>
  <c r="A145" i="2"/>
  <c r="F145" i="2" s="1"/>
  <c r="A144" i="2"/>
  <c r="F144" i="2" s="1"/>
  <c r="A143" i="2"/>
  <c r="F143" i="2" s="1"/>
  <c r="A142" i="2"/>
  <c r="F142" i="2" s="1"/>
  <c r="A141" i="2"/>
  <c r="F141" i="2" s="1"/>
  <c r="A140" i="2"/>
  <c r="F140" i="2" s="1"/>
  <c r="A139" i="2"/>
  <c r="F139" i="2" s="1"/>
  <c r="A138" i="2"/>
  <c r="F138" i="2" s="1"/>
  <c r="A137" i="2"/>
  <c r="F137" i="2" s="1"/>
  <c r="A136" i="2"/>
  <c r="F136" i="2" s="1"/>
  <c r="A135" i="2"/>
  <c r="F135" i="2" s="1"/>
  <c r="A134" i="2"/>
  <c r="F134" i="2" s="1"/>
  <c r="A133" i="2"/>
  <c r="F133" i="2" s="1"/>
  <c r="A132" i="2"/>
  <c r="F132" i="2" s="1"/>
  <c r="A131" i="2"/>
  <c r="F131" i="2" s="1"/>
  <c r="A130" i="2"/>
  <c r="F130" i="2" s="1"/>
  <c r="A129" i="2"/>
  <c r="F129" i="2" s="1"/>
  <c r="A128" i="2"/>
  <c r="F128" i="2" s="1"/>
  <c r="A127" i="2"/>
  <c r="F127" i="2" s="1"/>
  <c r="A126" i="2"/>
  <c r="F126" i="2" s="1"/>
  <c r="A125" i="2"/>
  <c r="F125" i="2" s="1"/>
  <c r="A124" i="2"/>
  <c r="F124" i="2" s="1"/>
  <c r="A123" i="2"/>
  <c r="F123" i="2" s="1"/>
  <c r="A122" i="2"/>
  <c r="F122" i="2" s="1"/>
  <c r="A121" i="2"/>
  <c r="F121" i="2" s="1"/>
  <c r="A120" i="2"/>
  <c r="F120" i="2" s="1"/>
  <c r="A119" i="2"/>
  <c r="F119" i="2" s="1"/>
  <c r="A118" i="2"/>
  <c r="F118" i="2" s="1"/>
  <c r="A117" i="2"/>
  <c r="F117" i="2" s="1"/>
  <c r="A116" i="2"/>
  <c r="F116" i="2" s="1"/>
  <c r="A115" i="2"/>
  <c r="F115" i="2" s="1"/>
  <c r="A114" i="2"/>
  <c r="F114" i="2" s="1"/>
  <c r="A113" i="2"/>
  <c r="F113" i="2" s="1"/>
  <c r="A112" i="2"/>
  <c r="F112" i="2" s="1"/>
  <c r="A111" i="2"/>
  <c r="F111" i="2" s="1"/>
  <c r="A110" i="2"/>
  <c r="F110" i="2" s="1"/>
  <c r="A109" i="2"/>
  <c r="F109" i="2" s="1"/>
  <c r="A108" i="2"/>
  <c r="F108" i="2" s="1"/>
  <c r="A107" i="2"/>
  <c r="F107" i="2" s="1"/>
  <c r="A106" i="2"/>
  <c r="F106" i="2" s="1"/>
  <c r="A105" i="2"/>
  <c r="F105" i="2" s="1"/>
  <c r="A104" i="2"/>
  <c r="F104" i="2" s="1"/>
  <c r="A103" i="2"/>
  <c r="F103" i="2" s="1"/>
  <c r="A102" i="2"/>
  <c r="F102" i="2" s="1"/>
  <c r="A101" i="2"/>
  <c r="F101" i="2" s="1"/>
  <c r="A100" i="2"/>
  <c r="F100" i="2" s="1"/>
  <c r="A99" i="2"/>
  <c r="F99" i="2" s="1"/>
  <c r="A98" i="2"/>
  <c r="F98" i="2" s="1"/>
  <c r="A97" i="2"/>
  <c r="F97" i="2" s="1"/>
  <c r="A96" i="2"/>
  <c r="F96" i="2" s="1"/>
  <c r="A95" i="2"/>
  <c r="F95" i="2" s="1"/>
  <c r="A94" i="2"/>
  <c r="F94" i="2" s="1"/>
  <c r="A93" i="2"/>
  <c r="F93" i="2" s="1"/>
  <c r="A92" i="2"/>
  <c r="F92" i="2" s="1"/>
  <c r="A91" i="2"/>
  <c r="F91" i="2" s="1"/>
  <c r="A90" i="2"/>
  <c r="F90" i="2" s="1"/>
  <c r="A89" i="2"/>
  <c r="F89" i="2" s="1"/>
  <c r="A88" i="2"/>
  <c r="F88" i="2" s="1"/>
  <c r="A87" i="2"/>
  <c r="F87" i="2" s="1"/>
  <c r="A86" i="2"/>
  <c r="F86" i="2" s="1"/>
  <c r="A85" i="2"/>
  <c r="F85" i="2" s="1"/>
  <c r="A84" i="2"/>
  <c r="F84" i="2" s="1"/>
  <c r="A83" i="2"/>
  <c r="F83" i="2" s="1"/>
  <c r="A82" i="2"/>
  <c r="F82" i="2" s="1"/>
  <c r="A81" i="2"/>
  <c r="A80" i="2"/>
  <c r="A79" i="2"/>
  <c r="A78" i="2"/>
  <c r="A77" i="2"/>
  <c r="A76" i="2"/>
  <c r="A75" i="2"/>
  <c r="A74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K23" i="1" l="1"/>
  <c r="F6" i="2" l="1"/>
  <c r="F7" i="2"/>
  <c r="F10" i="2"/>
  <c r="F11" i="2"/>
  <c r="F14" i="2"/>
  <c r="F15" i="2"/>
  <c r="F18" i="2"/>
  <c r="F19" i="2"/>
  <c r="F22" i="2"/>
  <c r="F23" i="2"/>
  <c r="F26" i="2"/>
  <c r="F27" i="2"/>
  <c r="F30" i="2"/>
  <c r="F31" i="2"/>
  <c r="F34" i="2"/>
  <c r="F35" i="2"/>
  <c r="F38" i="2"/>
  <c r="F39" i="2"/>
  <c r="F42" i="2"/>
  <c r="F43" i="2"/>
  <c r="F46" i="2"/>
  <c r="F47" i="2"/>
  <c r="F50" i="2"/>
  <c r="F51" i="2"/>
  <c r="F54" i="2"/>
  <c r="F55" i="2"/>
  <c r="F58" i="2"/>
  <c r="F59" i="2"/>
  <c r="F62" i="2"/>
  <c r="F63" i="2"/>
  <c r="F66" i="2"/>
  <c r="F67" i="2"/>
  <c r="F70" i="2"/>
  <c r="F71" i="2"/>
  <c r="F74" i="2"/>
  <c r="F75" i="2"/>
  <c r="F78" i="2"/>
  <c r="F79" i="2"/>
  <c r="F4" i="2"/>
  <c r="F5" i="2"/>
  <c r="F8" i="2"/>
  <c r="F9" i="2"/>
  <c r="F12" i="2"/>
  <c r="F13" i="2"/>
  <c r="F16" i="2"/>
  <c r="F17" i="2"/>
  <c r="F20" i="2"/>
  <c r="F21" i="2"/>
  <c r="F24" i="2"/>
  <c r="F25" i="2"/>
  <c r="F28" i="2"/>
  <c r="F29" i="2"/>
  <c r="F32" i="2"/>
  <c r="F33" i="2"/>
  <c r="F36" i="2"/>
  <c r="F37" i="2"/>
  <c r="F40" i="2"/>
  <c r="F41" i="2"/>
  <c r="F44" i="2"/>
  <c r="F45" i="2"/>
  <c r="F48" i="2"/>
  <c r="F49" i="2"/>
  <c r="F52" i="2"/>
  <c r="F53" i="2"/>
  <c r="F56" i="2"/>
  <c r="F57" i="2"/>
  <c r="F60" i="2"/>
  <c r="F61" i="2"/>
  <c r="F64" i="2"/>
  <c r="F65" i="2"/>
  <c r="F68" i="2"/>
  <c r="F69" i="2"/>
  <c r="F72" i="2"/>
  <c r="F73" i="2"/>
  <c r="F76" i="2"/>
  <c r="F77" i="2"/>
  <c r="F80" i="2"/>
  <c r="F81" i="2"/>
  <c r="F3" i="2"/>
  <c r="F2" i="2"/>
  <c r="E12" i="1" l="1"/>
  <c r="H22" i="1"/>
  <c r="A22" i="1"/>
  <c r="E10" i="1" l="1"/>
  <c r="E11" i="1"/>
</calcChain>
</file>

<file path=xl/comments1.xml><?xml version="1.0" encoding="utf-8"?>
<comments xmlns="http://schemas.openxmlformats.org/spreadsheetml/2006/main">
  <authors>
    <author>jmjeong</author>
  </authors>
  <commentList>
    <comment ref="E9" authorId="0" shapeId="0">
      <text>
        <r>
          <rPr>
            <sz val="9"/>
            <color indexed="81"/>
            <rFont val="돋움"/>
            <family val="3"/>
            <charset val="129"/>
          </rPr>
          <t>띄어쓰기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금지</t>
        </r>
      </text>
    </comment>
    <comment ref="E13" authorId="0" shapeId="0">
      <text>
        <r>
          <rPr>
            <sz val="9"/>
            <color indexed="81"/>
            <rFont val="돋움"/>
            <family val="3"/>
            <charset val="129"/>
          </rPr>
          <t>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</text>
    </comment>
  </commentList>
</comments>
</file>

<file path=xl/sharedStrings.xml><?xml version="1.0" encoding="utf-8"?>
<sst xmlns="http://schemas.openxmlformats.org/spreadsheetml/2006/main" count="315" uniqueCount="276">
  <si>
    <t>제증명 발급 신청서(재학생용)</t>
  </si>
  <si>
    <t>신청부수</t>
  </si>
  <si>
    <t>3. 성적증명서</t>
  </si>
  <si>
    <t>4. 학교생활기록부</t>
  </si>
  <si>
    <t>5. 교육비납입증명서</t>
  </si>
  <si>
    <t>주민등록번호</t>
  </si>
  <si>
    <t>도로명주소</t>
  </si>
  <si>
    <t>연 락 처</t>
  </si>
  <si>
    <t>학과/학년/반</t>
  </si>
  <si>
    <t>【개인정보제공 동의 및 활용동의서】</t>
  </si>
  <si>
    <t>1. 개인정보 수집 이용 목적 : 제증명 발급</t>
  </si>
  <si>
    <t>2. 개인정보 수집 항목 : 성명, 주민등록번호, 주소, 연락처, 사용용도</t>
  </si>
  <si>
    <t>3. 개인정보의 보유 및 이용기간 : 이용목적 달성시 및 관계법령에 따른 보관기간까지</t>
  </si>
  <si>
    <t>개인정보 수집 동의</t>
  </si>
  <si>
    <t>본인 확인을 위한 주민등록번호 수집 동의</t>
  </si>
  <si>
    <t>상기 관련 내용을 숙지하였으며 개인정보에 대한 활용을 동의합니다.</t>
  </si>
  <si>
    <t>확인자</t>
  </si>
  <si>
    <t>담임</t>
  </si>
  <si>
    <t>★확인을 서명으로 하시는 경우에는 반드시 행정실 업무담당자에게 메신저 또는 전화(806)로 연락을 주시기 바랍니다.</t>
  </si>
  <si>
    <t>제증명
종류</t>
    <phoneticPr fontId="3" type="noConversion"/>
  </si>
  <si>
    <t>NEIS
입력 사항</t>
    <phoneticPr fontId="3" type="noConversion"/>
  </si>
  <si>
    <t>학년</t>
  </si>
  <si>
    <t>학년</t>
    <phoneticPr fontId="3" type="noConversion"/>
  </si>
  <si>
    <t>반</t>
  </si>
  <si>
    <t>반</t>
    <phoneticPr fontId="3" type="noConversion"/>
  </si>
  <si>
    <t>통</t>
    <phoneticPr fontId="3" type="noConversion"/>
  </si>
  <si>
    <t>1. 재학증명서</t>
    <phoneticPr fontId="3" type="noConversion"/>
  </si>
  <si>
    <t>(인)</t>
    <phoneticPr fontId="3" type="noConversion"/>
  </si>
  <si>
    <t>신분증(주민등록증, 학생증,
 청소년증, 여권 등)
미 지참시 담임선생님 확인란</t>
  </si>
  <si>
    <t>성명</t>
    <phoneticPr fontId="3" type="noConversion"/>
  </si>
  <si>
    <t>성 명</t>
  </si>
  <si>
    <t>용 도</t>
  </si>
  <si>
    <t>4. 동의를 거부할 권리 및 동의 거부에 따른 불이익 : 동의를 거부할 수 있으며, 동의 거부 시 
    제증명을 발급받을 수 없음</t>
    <phoneticPr fontId="3" type="noConversion"/>
  </si>
  <si>
    <t>신청인 성명</t>
    <phoneticPr fontId="3" type="noConversion"/>
  </si>
  <si>
    <t>(서명 또는 인)</t>
    <phoneticPr fontId="3" type="noConversion"/>
  </si>
  <si>
    <r>
      <t>광주소프트웨어마이터고등학교장</t>
    </r>
    <r>
      <rPr>
        <sz val="12"/>
        <color rgb="FF000000"/>
        <rFont val="함초롬바탕"/>
        <family val="1"/>
        <charset val="129"/>
      </rPr>
      <t xml:space="preserve"> 귀하</t>
    </r>
    <phoneticPr fontId="3" type="noConversion"/>
  </si>
  <si>
    <r>
      <t>✔</t>
    </r>
    <r>
      <rPr>
        <sz val="12"/>
        <color rgb="FF000000"/>
        <rFont val="함초롬바탕"/>
        <family val="1"/>
        <charset val="129"/>
      </rPr>
      <t>동의함 □동의하지 않음</t>
    </r>
  </si>
  <si>
    <t>번호</t>
  </si>
  <si>
    <t>이름</t>
  </si>
  <si>
    <t>학생 연락처</t>
  </si>
  <si>
    <t>집 주소</t>
  </si>
  <si>
    <t>학과</t>
    <phoneticPr fontId="3" type="noConversion"/>
  </si>
  <si>
    <t>주민등록번호</t>
    <phoneticPr fontId="3" type="noConversion"/>
  </si>
  <si>
    <t>학과/학년/반/성명</t>
    <phoneticPr fontId="3" type="noConversion"/>
  </si>
  <si>
    <t>김경훈</t>
  </si>
  <si>
    <t>김민채</t>
  </si>
  <si>
    <t>안수빈</t>
  </si>
  <si>
    <t>2. 졸업증명서</t>
    <phoneticPr fontId="3" type="noConversion"/>
  </si>
  <si>
    <t>담임</t>
    <phoneticPr fontId="3" type="noConversion"/>
  </si>
  <si>
    <t>임성은</t>
    <phoneticPr fontId="3" type="noConversion"/>
  </si>
  <si>
    <t>이지은</t>
    <phoneticPr fontId="3" type="noConversion"/>
  </si>
  <si>
    <t>학년반</t>
    <phoneticPr fontId="3" type="noConversion"/>
  </si>
  <si>
    <t>회사 제출용</t>
  </si>
  <si>
    <t>윤시연</t>
    <phoneticPr fontId="3" type="noConversion"/>
  </si>
  <si>
    <t>황명희</t>
    <phoneticPr fontId="3" type="noConversion"/>
  </si>
  <si>
    <t>노주원</t>
    <phoneticPr fontId="3" type="noConversion"/>
  </si>
  <si>
    <t>류수일</t>
    <phoneticPr fontId="3" type="noConversion"/>
  </si>
  <si>
    <t>이명서</t>
    <phoneticPr fontId="3" type="noConversion"/>
  </si>
  <si>
    <t>차은정</t>
    <phoneticPr fontId="3" type="noConversion"/>
  </si>
  <si>
    <t>김미소</t>
    <phoneticPr fontId="3" type="noConversion"/>
  </si>
  <si>
    <t>박지현</t>
    <phoneticPr fontId="3" type="noConversion"/>
  </si>
  <si>
    <t>박지안</t>
    <phoneticPr fontId="3" type="noConversion"/>
  </si>
  <si>
    <t>정종민</t>
    <phoneticPr fontId="3" type="noConversion"/>
  </si>
  <si>
    <t>곽민성</t>
  </si>
  <si>
    <t>권태연</t>
  </si>
  <si>
    <t>김겸비</t>
  </si>
  <si>
    <t>김유준</t>
  </si>
  <si>
    <t>김재균</t>
  </si>
  <si>
    <t>김주은</t>
  </si>
  <si>
    <t>문혜성</t>
  </si>
  <si>
    <t>박유현</t>
  </si>
  <si>
    <t>박진우</t>
  </si>
  <si>
    <t>방가온</t>
  </si>
  <si>
    <t>손찬형</t>
  </si>
  <si>
    <t>신희성</t>
  </si>
  <si>
    <t>엄지성</t>
  </si>
  <si>
    <t>이승화</t>
  </si>
  <si>
    <t>이예나</t>
  </si>
  <si>
    <t>이진헌</t>
  </si>
  <si>
    <t>전민혁</t>
  </si>
  <si>
    <t>정성찬</t>
  </si>
  <si>
    <t>곽나혁</t>
  </si>
  <si>
    <t>김준표</t>
  </si>
  <si>
    <t>김태윤</t>
  </si>
  <si>
    <t>김현</t>
  </si>
  <si>
    <t>나혜찬</t>
  </si>
  <si>
    <t>류지민</t>
  </si>
  <si>
    <t>명재원</t>
  </si>
  <si>
    <t>박경일</t>
  </si>
  <si>
    <t>배지수</t>
  </si>
  <si>
    <t>신승호</t>
  </si>
  <si>
    <t>양동찬</t>
  </si>
  <si>
    <t>오은찬</t>
  </si>
  <si>
    <t>이성민</t>
  </si>
  <si>
    <t>장예슬</t>
  </si>
  <si>
    <t>정상혁</t>
  </si>
  <si>
    <t>정세준</t>
  </si>
  <si>
    <t>정태관</t>
  </si>
  <si>
    <t>김동학</t>
  </si>
  <si>
    <t>김서준</t>
  </si>
  <si>
    <t>김시후</t>
  </si>
  <si>
    <t>김예찬</t>
  </si>
  <si>
    <t>김유성</t>
  </si>
  <si>
    <t>김은후</t>
  </si>
  <si>
    <t>나윤후</t>
  </si>
  <si>
    <t>민우석</t>
  </si>
  <si>
    <t>박미리</t>
  </si>
  <si>
    <t>박민준</t>
  </si>
  <si>
    <t>백송주</t>
  </si>
  <si>
    <t>변승규</t>
  </si>
  <si>
    <t>변정현</t>
  </si>
  <si>
    <t>서지완</t>
  </si>
  <si>
    <t>이건주</t>
  </si>
  <si>
    <t>정승표</t>
  </si>
  <si>
    <t>주경주</t>
  </si>
  <si>
    <t>진건희</t>
  </si>
  <si>
    <t>인공지능(AI)</t>
    <phoneticPr fontId="3" type="noConversion"/>
  </si>
  <si>
    <t>강민규</t>
  </si>
  <si>
    <t>강선무</t>
  </si>
  <si>
    <t>김도연</t>
  </si>
  <si>
    <t>김동연</t>
  </si>
  <si>
    <t>김진원</t>
  </si>
  <si>
    <t>류현성</t>
  </si>
  <si>
    <t>박종환</t>
  </si>
  <si>
    <t>서목룡</t>
  </si>
  <si>
    <t>용민주</t>
  </si>
  <si>
    <t>윤상혁</t>
  </si>
  <si>
    <t>이명훈</t>
  </si>
  <si>
    <t>이지혁</t>
  </si>
  <si>
    <t>이현준</t>
  </si>
  <si>
    <t>장수희</t>
  </si>
  <si>
    <t>최보빈</t>
  </si>
  <si>
    <t>한수인</t>
  </si>
  <si>
    <t>한재형</t>
  </si>
  <si>
    <t>홍준</t>
  </si>
  <si>
    <t>계찬정</t>
  </si>
  <si>
    <t>김준서</t>
  </si>
  <si>
    <t>김철중</t>
  </si>
  <si>
    <t>변도진</t>
  </si>
  <si>
    <t>송정윤</t>
  </si>
  <si>
    <t>송현우</t>
  </si>
  <si>
    <t>안강호</t>
  </si>
  <si>
    <t>양승권</t>
  </si>
  <si>
    <t>오영기</t>
  </si>
  <si>
    <t>오진서</t>
  </si>
  <si>
    <t>이태훈</t>
  </si>
  <si>
    <t>임준성</t>
  </si>
  <si>
    <t>정민서</t>
  </si>
  <si>
    <t>정윤서</t>
  </si>
  <si>
    <t>한태현</t>
  </si>
  <si>
    <t>허여준</t>
  </si>
  <si>
    <t>허정</t>
  </si>
  <si>
    <t>김강현</t>
  </si>
  <si>
    <t>김도현</t>
  </si>
  <si>
    <t>김민재</t>
  </si>
  <si>
    <t>김원욱</t>
  </si>
  <si>
    <t>김종한</t>
  </si>
  <si>
    <t>나연균</t>
  </si>
  <si>
    <t>박준서</t>
  </si>
  <si>
    <t>배선후</t>
  </si>
  <si>
    <t>서주미</t>
  </si>
  <si>
    <t>송현서</t>
  </si>
  <si>
    <t>신아인</t>
  </si>
  <si>
    <t>윤수용</t>
  </si>
  <si>
    <t>이선진</t>
  </si>
  <si>
    <t>이학진</t>
  </si>
  <si>
    <t>전예빈</t>
  </si>
  <si>
    <t>최민욱</t>
  </si>
  <si>
    <t>최장우</t>
  </si>
  <si>
    <t>최현준</t>
  </si>
  <si>
    <t>강지운</t>
  </si>
  <si>
    <t>김대진</t>
  </si>
  <si>
    <t>김민준</t>
  </si>
  <si>
    <t>김설희</t>
  </si>
  <si>
    <t>김태오</t>
  </si>
  <si>
    <t>박주홍</t>
  </si>
  <si>
    <t>손혜린</t>
  </si>
  <si>
    <t>유채혁</t>
  </si>
  <si>
    <t>윤태빈</t>
  </si>
  <si>
    <t>이동욱</t>
  </si>
  <si>
    <t>이승제</t>
  </si>
  <si>
    <t>정민석</t>
  </si>
  <si>
    <t>정영운</t>
  </si>
  <si>
    <t>정찬우</t>
  </si>
  <si>
    <t>차시헌</t>
  </si>
  <si>
    <t>채종인</t>
  </si>
  <si>
    <t>한준</t>
  </si>
  <si>
    <t>강민수</t>
  </si>
  <si>
    <t>김경수</t>
  </si>
  <si>
    <t>김민수</t>
  </si>
  <si>
    <t>김새미</t>
  </si>
  <si>
    <t>김하온</t>
  </si>
  <si>
    <t>김희망</t>
  </si>
  <si>
    <t>노현주</t>
  </si>
  <si>
    <t>박건우</t>
  </si>
  <si>
    <t>박준호</t>
  </si>
  <si>
    <t>윤현기</t>
  </si>
  <si>
    <t>이기환</t>
  </si>
  <si>
    <t>이아론</t>
  </si>
  <si>
    <t>이운린</t>
  </si>
  <si>
    <t>이정우</t>
  </si>
  <si>
    <t>이태랑</t>
  </si>
  <si>
    <t>임창범</t>
  </si>
  <si>
    <t>정찬교</t>
  </si>
  <si>
    <t>하제우</t>
  </si>
  <si>
    <t>강경민</t>
  </si>
  <si>
    <t>곽희상</t>
  </si>
  <si>
    <t>김동현</t>
  </si>
  <si>
    <t>김시훈</t>
  </si>
  <si>
    <t>김준</t>
  </si>
  <si>
    <t>노가성</t>
  </si>
  <si>
    <t>박지예</t>
  </si>
  <si>
    <t>변찬우</t>
  </si>
  <si>
    <t>선민재</t>
  </si>
  <si>
    <t>손정민</t>
  </si>
  <si>
    <t>양시준</t>
  </si>
  <si>
    <t>유시온</t>
  </si>
  <si>
    <t>이준</t>
  </si>
  <si>
    <t>정은성</t>
  </si>
  <si>
    <t>조현서</t>
  </si>
  <si>
    <t>홍세현</t>
  </si>
  <si>
    <t>강민제</t>
  </si>
  <si>
    <t>강영현</t>
  </si>
  <si>
    <t>김성훈</t>
  </si>
  <si>
    <t>김현승</t>
  </si>
  <si>
    <t>김형록</t>
  </si>
  <si>
    <t>민도현</t>
  </si>
  <si>
    <t>박성현</t>
  </si>
  <si>
    <t>박영재</t>
  </si>
  <si>
    <t>백승민</t>
  </si>
  <si>
    <t>백혜인</t>
  </si>
  <si>
    <t>선채훈</t>
  </si>
  <si>
    <t>오유찬</t>
  </si>
  <si>
    <t>이주원</t>
  </si>
  <si>
    <t>이현빈</t>
  </si>
  <si>
    <t>전승원</t>
  </si>
  <si>
    <t>조재영</t>
  </si>
  <si>
    <t>최형우</t>
  </si>
  <si>
    <t>노혁</t>
  </si>
  <si>
    <t>노현진</t>
  </si>
  <si>
    <t>문송</t>
  </si>
  <si>
    <t>박서준</t>
  </si>
  <si>
    <t>박재만</t>
  </si>
  <si>
    <t>송정민</t>
  </si>
  <si>
    <t>유환빈</t>
  </si>
  <si>
    <t>윤지빈</t>
  </si>
  <si>
    <t>이동현</t>
  </si>
  <si>
    <t>이은우</t>
  </si>
  <si>
    <t>정명직</t>
  </si>
  <si>
    <t>정재훈</t>
  </si>
  <si>
    <t>정현욱</t>
  </si>
  <si>
    <t>지다민</t>
  </si>
  <si>
    <t>진시윤</t>
  </si>
  <si>
    <t>최강민</t>
  </si>
  <si>
    <t>최준성</t>
  </si>
  <si>
    <t>김건우</t>
  </si>
  <si>
    <t>김성길</t>
  </si>
  <si>
    <t>김현복</t>
  </si>
  <si>
    <t>김형호</t>
  </si>
  <si>
    <t>박명균</t>
  </si>
  <si>
    <t>박연우</t>
  </si>
  <si>
    <t>신태윤</t>
  </si>
  <si>
    <t>안진형</t>
  </si>
  <si>
    <t>양세련</t>
  </si>
  <si>
    <t>오종진</t>
  </si>
  <si>
    <t>이시완</t>
  </si>
  <si>
    <t>임가람</t>
  </si>
  <si>
    <t>임준화</t>
  </si>
  <si>
    <t>정다온</t>
  </si>
  <si>
    <t>정세은</t>
  </si>
  <si>
    <t>조윤겸</t>
  </si>
  <si>
    <t>주현호</t>
  </si>
  <si>
    <t>SW개발</t>
    <phoneticPr fontId="3" type="noConversion"/>
  </si>
  <si>
    <t>스마트IOT</t>
    <phoneticPr fontId="3" type="noConversion"/>
  </si>
  <si>
    <t>임베디드SW</t>
    <phoneticPr fontId="3" type="noConversion"/>
  </si>
  <si>
    <t>050404-3036710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</si>
</sst>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맑은 고딕"/>
      <family val="2"/>
      <charset val="129"/>
      <scheme val="minor"/>
    </font>
    <font>
      <b/>
      <sz val="13"/>
      <color rgb="FF000000"/>
      <name val="함초롬바탕"/>
      <family val="1"/>
      <charset val="129"/>
    </font>
    <font>
      <sz val="12"/>
      <color rgb="FF000000"/>
      <name val="함초롬바탕"/>
      <family val="1"/>
      <charset val="129"/>
    </font>
    <font>
      <sz val="8"/>
      <name val="맑은 고딕"/>
      <family val="2"/>
      <charset val="129"/>
      <scheme val="minor"/>
    </font>
    <font>
      <b/>
      <sz val="14"/>
      <color rgb="FF000000"/>
      <name val="함초롬바탕"/>
      <family val="1"/>
      <charset val="129"/>
    </font>
    <font>
      <sz val="14"/>
      <color rgb="FF000000"/>
      <name val="함초롬바탕"/>
      <family val="1"/>
      <charset val="129"/>
    </font>
    <font>
      <sz val="14"/>
      <color theme="1"/>
      <name val="함초롬바탕"/>
      <family val="1"/>
      <charset val="129"/>
    </font>
    <font>
      <sz val="11"/>
      <color rgb="FF000000"/>
      <name val="함초롬바탕"/>
      <family val="1"/>
      <charset val="129"/>
    </font>
    <font>
      <b/>
      <sz val="12"/>
      <color rgb="FF000000"/>
      <name val="함초롬바탕"/>
      <family val="1"/>
      <charset val="129"/>
    </font>
    <font>
      <b/>
      <sz val="15"/>
      <color rgb="FF000000"/>
      <name val="함초롬바탕"/>
      <family val="1"/>
      <charset val="129"/>
    </font>
    <font>
      <b/>
      <sz val="10"/>
      <color rgb="FF000000"/>
      <name val="함초롬바탕"/>
      <family val="1"/>
      <charset val="129"/>
    </font>
    <font>
      <b/>
      <sz val="11"/>
      <color rgb="FF00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b/>
      <sz val="18"/>
      <color rgb="FF000000"/>
      <name val="함초롬바탕"/>
      <family val="1"/>
      <charset val="129"/>
    </font>
    <font>
      <b/>
      <u val="double"/>
      <sz val="24"/>
      <color rgb="FF000000"/>
      <name val="함초롬바탕"/>
      <family val="1"/>
      <charset val="129"/>
    </font>
    <font>
      <u val="doubleAccounting"/>
      <sz val="11"/>
      <color theme="1"/>
      <name val="맑은 고딕"/>
      <family val="2"/>
      <charset val="129"/>
      <scheme val="minor"/>
    </font>
    <font>
      <b/>
      <sz val="12"/>
      <color rgb="FF0000FF"/>
      <name val="함초롬바탕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n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1" fillId="0" borderId="26" xfId="0" applyFont="1" applyBorder="1" applyAlignment="1">
      <alignment vertical="center" wrapText="1"/>
    </xf>
    <xf numFmtId="0" fontId="12" fillId="0" borderId="13" xfId="0" applyFont="1" applyBorder="1">
      <alignment vertical="center"/>
    </xf>
    <xf numFmtId="0" fontId="15" fillId="0" borderId="0" xfId="0" applyFont="1">
      <alignment vertical="center"/>
    </xf>
    <xf numFmtId="0" fontId="9" fillId="0" borderId="13" xfId="0" applyFont="1" applyBorder="1" applyAlignment="1">
      <alignment vertical="center"/>
    </xf>
    <xf numFmtId="0" fontId="11" fillId="0" borderId="30" xfId="0" applyFont="1" applyBorder="1" applyAlignment="1">
      <alignment vertical="center" wrapText="1"/>
    </xf>
    <xf numFmtId="0" fontId="4" fillId="0" borderId="8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right" vertical="center" wrapText="1"/>
    </xf>
    <xf numFmtId="31" fontId="9" fillId="0" borderId="12" xfId="0" applyNumberFormat="1" applyFont="1" applyBorder="1" applyAlignment="1">
      <alignment horizontal="center" vertical="center" wrapText="1"/>
    </xf>
    <xf numFmtId="31" fontId="9" fillId="0" borderId="0" xfId="0" applyNumberFormat="1" applyFont="1" applyBorder="1" applyAlignment="1">
      <alignment horizontal="center" vertical="center" wrapText="1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4" fillId="0" borderId="7" xfId="0" quotePrefix="1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justify" vertical="center" wrapText="1"/>
    </xf>
    <xf numFmtId="0" fontId="5" fillId="0" borderId="8" xfId="0" applyFont="1" applyBorder="1" applyAlignment="1">
      <alignment horizontal="justify" vertical="center" wrapText="1"/>
    </xf>
    <xf numFmtId="0" fontId="5" fillId="0" borderId="9" xfId="0" applyFont="1" applyBorder="1" applyAlignment="1">
      <alignment horizontal="justify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0" xfId="0" applyFont="1" applyBorder="1" applyAlignment="1" applyProtection="1">
      <alignment horizontal="center" vertical="center" wrapText="1"/>
      <protection locked="0"/>
    </xf>
    <xf numFmtId="0" fontId="16" fillId="0" borderId="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justify" vertical="center" wrapText="1"/>
    </xf>
    <xf numFmtId="0" fontId="13" fillId="0" borderId="15" xfId="0" applyFont="1" applyBorder="1" applyAlignment="1">
      <alignment horizontal="justify" vertical="center" wrapText="1"/>
    </xf>
    <xf numFmtId="0" fontId="13" fillId="0" borderId="16" xfId="0" applyFont="1" applyBorder="1" applyAlignment="1">
      <alignment horizontal="justify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7" fillId="0" borderId="13" xfId="0" applyFont="1" applyBorder="1" applyAlignment="1">
      <alignment vertical="center" wrapText="1"/>
    </xf>
    <xf numFmtId="0" fontId="7" fillId="0" borderId="12" xfId="0" applyFont="1" applyBorder="1" applyAlignment="1">
      <alignment vertical="center" wrapText="1"/>
    </xf>
    <xf numFmtId="0" fontId="1" fillId="0" borderId="27" xfId="0" applyFont="1" applyBorder="1" applyAlignment="1">
      <alignment horizontal="left"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justify" vertical="center" wrapText="1"/>
    </xf>
    <xf numFmtId="0" fontId="5" fillId="0" borderId="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10" fillId="0" borderId="12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10" xfId="0" applyFont="1" applyFill="1" applyBorder="1" applyAlignment="1" applyProtection="1">
      <alignment horizontal="center" vertical="center" wrapText="1"/>
      <protection locked="0"/>
    </xf>
  </cellXfs>
  <cellStyles count="1">
    <cellStyle name="표준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</xdr:colOff>
      <xdr:row>2</xdr:row>
      <xdr:rowOff>9525</xdr:rowOff>
    </xdr:from>
    <xdr:to>
      <xdr:col>18</xdr:col>
      <xdr:colOff>0</xdr:colOff>
      <xdr:row>2</xdr:row>
      <xdr:rowOff>323850</xdr:rowOff>
    </xdr:to>
    <xdr:sp macro="[0]!지우기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229475" y="552450"/>
          <a:ext cx="67627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17</xdr:col>
      <xdr:colOff>0</xdr:colOff>
      <xdr:row>4</xdr:row>
      <xdr:rowOff>0</xdr:rowOff>
    </xdr:from>
    <xdr:to>
      <xdr:col>17</xdr:col>
      <xdr:colOff>676275</xdr:colOff>
      <xdr:row>4</xdr:row>
      <xdr:rowOff>323850</xdr:rowOff>
    </xdr:to>
    <xdr:sp macro="[0]!인쇄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219950" y="1209675"/>
          <a:ext cx="67627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인쇄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T26"/>
  <sheetViews>
    <sheetView zoomScaleNormal="100" workbookViewId="0">
      <selection activeCell="H8" sqref="H8:I8"/>
    </sheetView>
  </sheetViews>
  <sheetFormatPr defaultRowHeight="17.399999999999999" x14ac:dyDescent="0.4"/>
  <cols>
    <col min="1" max="1" width="1.8984375" customWidth="1"/>
    <col min="2" max="2" width="11.5" customWidth="1"/>
    <col min="3" max="4" width="7.8984375" customWidth="1"/>
    <col min="5" max="5" width="8.69921875" customWidth="1"/>
    <col min="6" max="6" width="11" customWidth="1"/>
    <col min="7" max="7" width="5" customWidth="1"/>
    <col min="8" max="8" width="5.09765625" customWidth="1"/>
    <col min="9" max="11" width="3.8984375" customWidth="1"/>
    <col min="12" max="12" width="4.19921875" customWidth="1"/>
    <col min="13" max="15" width="3" customWidth="1"/>
    <col min="16" max="16" width="1.8984375" customWidth="1"/>
  </cols>
  <sheetData>
    <row r="1" spans="1:20" ht="31.5" customHeight="1" x14ac:dyDescent="0.4">
      <c r="A1" s="67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</row>
    <row r="2" spans="1:20" ht="11.25" customHeight="1" thickBot="1" x14ac:dyDescent="0.4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</row>
    <row r="3" spans="1:20" ht="26.25" customHeight="1" thickTop="1" x14ac:dyDescent="0.4">
      <c r="A3" s="39" t="s">
        <v>19</v>
      </c>
      <c r="B3" s="40"/>
      <c r="C3" s="69" t="s">
        <v>26</v>
      </c>
      <c r="D3" s="70"/>
      <c r="E3" s="70"/>
      <c r="F3" s="70"/>
      <c r="G3" s="71"/>
      <c r="H3" s="23" t="s">
        <v>1</v>
      </c>
      <c r="I3" s="24"/>
      <c r="J3" s="24"/>
      <c r="K3" s="15"/>
      <c r="L3" s="16"/>
      <c r="M3" s="16"/>
      <c r="N3" s="16"/>
      <c r="O3" s="43" t="s">
        <v>25</v>
      </c>
      <c r="P3" s="44"/>
    </row>
    <row r="4" spans="1:20" ht="26.25" customHeight="1" x14ac:dyDescent="0.4">
      <c r="A4" s="30"/>
      <c r="B4" s="31"/>
      <c r="C4" s="25" t="s">
        <v>47</v>
      </c>
      <c r="D4" s="26"/>
      <c r="E4" s="26"/>
      <c r="F4" s="26"/>
      <c r="G4" s="27"/>
      <c r="H4" s="17" t="s">
        <v>1</v>
      </c>
      <c r="I4" s="75"/>
      <c r="J4" s="75"/>
      <c r="K4" s="13"/>
      <c r="L4" s="14"/>
      <c r="M4" s="14"/>
      <c r="N4" s="14"/>
      <c r="O4" s="76" t="s">
        <v>25</v>
      </c>
      <c r="P4" s="77"/>
    </row>
    <row r="5" spans="1:20" ht="26.25" customHeight="1" x14ac:dyDescent="0.4">
      <c r="A5" s="30"/>
      <c r="B5" s="31"/>
      <c r="C5" s="25" t="s">
        <v>2</v>
      </c>
      <c r="D5" s="26"/>
      <c r="E5" s="26"/>
      <c r="F5" s="26"/>
      <c r="G5" s="27"/>
      <c r="H5" s="17" t="s">
        <v>1</v>
      </c>
      <c r="I5" s="75"/>
      <c r="J5" s="75"/>
      <c r="K5" s="13"/>
      <c r="L5" s="14"/>
      <c r="M5" s="14"/>
      <c r="N5" s="14"/>
      <c r="O5" s="76" t="s">
        <v>25</v>
      </c>
      <c r="P5" s="77"/>
      <c r="T5" s="3"/>
    </row>
    <row r="6" spans="1:20" ht="26.25" customHeight="1" x14ac:dyDescent="0.4">
      <c r="A6" s="30"/>
      <c r="B6" s="31"/>
      <c r="C6" s="25" t="s">
        <v>3</v>
      </c>
      <c r="D6" s="26"/>
      <c r="E6" s="26"/>
      <c r="F6" s="26"/>
      <c r="G6" s="27"/>
      <c r="H6" s="17" t="s">
        <v>1</v>
      </c>
      <c r="I6" s="75"/>
      <c r="J6" s="75"/>
      <c r="K6" s="13"/>
      <c r="L6" s="14"/>
      <c r="M6" s="14"/>
      <c r="N6" s="14"/>
      <c r="O6" s="76" t="s">
        <v>25</v>
      </c>
      <c r="P6" s="77"/>
    </row>
    <row r="7" spans="1:20" ht="26.25" customHeight="1" x14ac:dyDescent="0.4">
      <c r="A7" s="41"/>
      <c r="B7" s="42"/>
      <c r="C7" s="25" t="s">
        <v>4</v>
      </c>
      <c r="D7" s="26"/>
      <c r="E7" s="26"/>
      <c r="F7" s="26"/>
      <c r="G7" s="27"/>
      <c r="H7" s="17" t="s">
        <v>1</v>
      </c>
      <c r="I7" s="75"/>
      <c r="J7" s="75"/>
      <c r="K7" s="13"/>
      <c r="L7" s="14"/>
      <c r="M7" s="14"/>
      <c r="N7" s="14"/>
      <c r="O7" s="76" t="s">
        <v>25</v>
      </c>
      <c r="P7" s="77"/>
    </row>
    <row r="8" spans="1:20" ht="26.25" customHeight="1" x14ac:dyDescent="0.4">
      <c r="A8" s="28" t="s">
        <v>20</v>
      </c>
      <c r="B8" s="29"/>
      <c r="C8" s="17" t="s">
        <v>8</v>
      </c>
      <c r="D8" s="18"/>
      <c r="E8" s="19" t="str">
        <f>IF(OR(H8="",L8=""),"",VLOOKUP(VALUE(H8&amp;L8),담임및학과!A:C,3,FALSE))</f>
        <v/>
      </c>
      <c r="F8" s="20"/>
      <c r="G8" s="6" t="str">
        <f>IF(E8="공통과정","","과")</f>
        <v>과</v>
      </c>
      <c r="H8" s="21"/>
      <c r="I8" s="21"/>
      <c r="J8" s="22" t="s">
        <v>22</v>
      </c>
      <c r="K8" s="22"/>
      <c r="L8" s="21"/>
      <c r="M8" s="21"/>
      <c r="N8" s="21"/>
      <c r="O8" s="22" t="s">
        <v>24</v>
      </c>
      <c r="P8" s="35"/>
    </row>
    <row r="9" spans="1:20" ht="26.25" customHeight="1" x14ac:dyDescent="0.4">
      <c r="A9" s="30"/>
      <c r="B9" s="31"/>
      <c r="C9" s="17" t="s">
        <v>30</v>
      </c>
      <c r="D9" s="18"/>
      <c r="E9" s="78"/>
      <c r="F9" s="21"/>
      <c r="G9" s="21"/>
      <c r="H9" s="21"/>
      <c r="I9" s="21"/>
      <c r="J9" s="21"/>
      <c r="K9" s="21"/>
      <c r="L9" s="21"/>
      <c r="M9" s="21"/>
      <c r="N9" s="21"/>
      <c r="O9" s="21"/>
      <c r="P9" s="79"/>
    </row>
    <row r="10" spans="1:20" ht="26.25" customHeight="1" x14ac:dyDescent="0.4">
      <c r="A10" s="30"/>
      <c r="B10" s="31"/>
      <c r="C10" s="17" t="s">
        <v>5</v>
      </c>
      <c r="D10" s="18"/>
      <c r="E10" s="34" t="str">
        <f>IF(OR(H8="",L8="",E9=""),"",VLOOKUP(E8&amp;H8&amp;L8&amp;E9,데이터!F:I,2,FALSE))</f>
        <v/>
      </c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35"/>
    </row>
    <row r="11" spans="1:20" ht="48.75" customHeight="1" x14ac:dyDescent="0.4">
      <c r="A11" s="30"/>
      <c r="B11" s="31"/>
      <c r="C11" s="17" t="s">
        <v>6</v>
      </c>
      <c r="D11" s="18"/>
      <c r="E11" s="34" t="str">
        <f>IF(OR(H8="",L8="",E9=""),"",VLOOKUP(E8&amp;H8&amp;L8&amp;E9,데이터!F:I,4,FALSE))</f>
        <v/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35"/>
    </row>
    <row r="12" spans="1:20" ht="26.25" customHeight="1" x14ac:dyDescent="0.4">
      <c r="A12" s="30"/>
      <c r="B12" s="31"/>
      <c r="C12" s="17" t="s">
        <v>7</v>
      </c>
      <c r="D12" s="18"/>
      <c r="E12" s="34" t="str">
        <f>IF(OR(H8="",L8="",E9=""),"",VLOOKUP(E8&amp;H8&amp;L8&amp;E9,데이터!F:I,3,FALSE))</f>
        <v/>
      </c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35"/>
    </row>
    <row r="13" spans="1:20" ht="26.25" customHeight="1" thickBot="1" x14ac:dyDescent="0.45">
      <c r="A13" s="32"/>
      <c r="B13" s="33"/>
      <c r="C13" s="17" t="s">
        <v>31</v>
      </c>
      <c r="D13" s="18"/>
      <c r="E13" s="13" t="s">
        <v>52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36"/>
    </row>
    <row r="14" spans="1:20" ht="28.5" customHeight="1" thickTop="1" x14ac:dyDescent="0.4">
      <c r="A14" s="48" t="s">
        <v>9</v>
      </c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50"/>
    </row>
    <row r="15" spans="1:20" ht="22.5" customHeight="1" x14ac:dyDescent="0.4">
      <c r="A15" s="56"/>
      <c r="B15" s="54" t="s">
        <v>10</v>
      </c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5"/>
    </row>
    <row r="16" spans="1:20" ht="22.5" customHeight="1" x14ac:dyDescent="0.4">
      <c r="A16" s="56"/>
      <c r="B16" s="54" t="s">
        <v>11</v>
      </c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5"/>
    </row>
    <row r="17" spans="1:16" ht="22.5" customHeight="1" x14ac:dyDescent="0.4">
      <c r="A17" s="56"/>
      <c r="B17" s="54" t="s">
        <v>12</v>
      </c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5"/>
    </row>
    <row r="18" spans="1:16" ht="37.5" customHeight="1" x14ac:dyDescent="0.4">
      <c r="A18" s="56"/>
      <c r="B18" s="54" t="s">
        <v>32</v>
      </c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5"/>
    </row>
    <row r="19" spans="1:16" ht="22.5" customHeight="1" x14ac:dyDescent="0.4">
      <c r="A19" s="56"/>
      <c r="B19" s="38" t="s">
        <v>13</v>
      </c>
      <c r="C19" s="38"/>
      <c r="D19" s="38"/>
      <c r="E19" s="38"/>
      <c r="F19" s="38"/>
      <c r="G19" s="37" t="s">
        <v>36</v>
      </c>
      <c r="H19" s="37"/>
      <c r="I19" s="37"/>
      <c r="J19" s="37"/>
      <c r="K19" s="37"/>
      <c r="L19" s="37"/>
      <c r="M19" s="37"/>
      <c r="N19" s="37"/>
      <c r="O19" s="37"/>
      <c r="P19" s="55"/>
    </row>
    <row r="20" spans="1:16" ht="22.5" customHeight="1" x14ac:dyDescent="0.4">
      <c r="A20" s="56"/>
      <c r="B20" s="38" t="s">
        <v>14</v>
      </c>
      <c r="C20" s="38"/>
      <c r="D20" s="38"/>
      <c r="E20" s="38"/>
      <c r="F20" s="38"/>
      <c r="G20" s="37" t="s">
        <v>36</v>
      </c>
      <c r="H20" s="37"/>
      <c r="I20" s="37"/>
      <c r="J20" s="37"/>
      <c r="K20" s="37"/>
      <c r="L20" s="37"/>
      <c r="M20" s="37"/>
      <c r="N20" s="37"/>
      <c r="O20" s="37"/>
      <c r="P20" s="55"/>
    </row>
    <row r="21" spans="1:16" ht="28.5" customHeight="1" x14ac:dyDescent="0.4">
      <c r="A21" s="51" t="s">
        <v>15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3"/>
    </row>
    <row r="22" spans="1:16" ht="33.75" customHeight="1" x14ac:dyDescent="0.4">
      <c r="A22" s="11">
        <f ca="1">TODAY()</f>
        <v>45087</v>
      </c>
      <c r="B22" s="12"/>
      <c r="C22" s="12"/>
      <c r="D22" s="12"/>
      <c r="E22" s="12"/>
      <c r="F22" s="63" t="s">
        <v>33</v>
      </c>
      <c r="G22" s="63"/>
      <c r="H22" s="63" t="str">
        <f>IF(E9="","",E9)</f>
        <v/>
      </c>
      <c r="I22" s="63"/>
      <c r="J22" s="63"/>
      <c r="K22" s="63"/>
      <c r="L22" s="64" t="s">
        <v>34</v>
      </c>
      <c r="M22" s="64"/>
      <c r="N22" s="64"/>
      <c r="O22" s="64"/>
      <c r="P22" s="4"/>
    </row>
    <row r="23" spans="1:16" ht="52.5" customHeight="1" x14ac:dyDescent="0.4">
      <c r="A23" s="5"/>
      <c r="B23" s="58" t="s">
        <v>28</v>
      </c>
      <c r="C23" s="58"/>
      <c r="D23" s="58"/>
      <c r="E23" s="59"/>
      <c r="F23" s="1" t="s">
        <v>16</v>
      </c>
      <c r="G23" s="57" t="s">
        <v>17</v>
      </c>
      <c r="H23" s="57"/>
      <c r="I23" s="10" t="s">
        <v>29</v>
      </c>
      <c r="J23" s="10"/>
      <c r="K23" s="9" t="str">
        <f>IF(OR(H8="",L8="",E9=""),"",VLOOKUP(VALUE(H8&amp;L8),담임및학과!A:B,2,FALSE))</f>
        <v/>
      </c>
      <c r="L23" s="9"/>
      <c r="M23" s="9"/>
      <c r="N23" s="65" t="s">
        <v>27</v>
      </c>
      <c r="O23" s="66"/>
      <c r="P23" s="2"/>
    </row>
    <row r="24" spans="1:16" ht="9" customHeight="1" x14ac:dyDescent="0.4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2"/>
    </row>
    <row r="25" spans="1:16" ht="34.5" customHeight="1" x14ac:dyDescent="0.4">
      <c r="A25" s="72" t="s">
        <v>18</v>
      </c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4"/>
    </row>
    <row r="26" spans="1:16" ht="36" customHeight="1" x14ac:dyDescent="0.4">
      <c r="A26" s="45" t="s">
        <v>35</v>
      </c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7"/>
    </row>
  </sheetData>
  <sheetProtection algorithmName="SHA-512" hashValue="H7DYs/br5wse2QMeFSObfFxeya+3ILl3aAqapz+LGFEs0yRW5/jbi6KZhBF/Q5n9P9/p+Khs0aabOhKMMNyVdw==" saltValue="bJHgdmDLgg/i7QW3+nX+Lg==" spinCount="100000" sheet="1" objects="1" scenarios="1" selectLockedCells="1"/>
  <mergeCells count="64">
    <mergeCell ref="A1:P1"/>
    <mergeCell ref="A2:P2"/>
    <mergeCell ref="C3:G3"/>
    <mergeCell ref="C4:G4"/>
    <mergeCell ref="A25:P25"/>
    <mergeCell ref="H7:J7"/>
    <mergeCell ref="H6:J6"/>
    <mergeCell ref="H5:J5"/>
    <mergeCell ref="H4:J4"/>
    <mergeCell ref="O7:P7"/>
    <mergeCell ref="O6:P6"/>
    <mergeCell ref="O5:P5"/>
    <mergeCell ref="O4:P4"/>
    <mergeCell ref="E9:P9"/>
    <mergeCell ref="E10:P10"/>
    <mergeCell ref="E11:P11"/>
    <mergeCell ref="A26:P26"/>
    <mergeCell ref="A14:P14"/>
    <mergeCell ref="A21:P21"/>
    <mergeCell ref="B18:O18"/>
    <mergeCell ref="B17:O17"/>
    <mergeCell ref="B16:O16"/>
    <mergeCell ref="B15:O15"/>
    <mergeCell ref="P15:P20"/>
    <mergeCell ref="A15:A20"/>
    <mergeCell ref="G23:H23"/>
    <mergeCell ref="B23:E23"/>
    <mergeCell ref="A24:P24"/>
    <mergeCell ref="F22:G22"/>
    <mergeCell ref="L22:O22"/>
    <mergeCell ref="H22:K22"/>
    <mergeCell ref="N23:O23"/>
    <mergeCell ref="E12:P12"/>
    <mergeCell ref="E13:P13"/>
    <mergeCell ref="C5:G5"/>
    <mergeCell ref="C6:G6"/>
    <mergeCell ref="G20:O20"/>
    <mergeCell ref="G19:O19"/>
    <mergeCell ref="B20:F20"/>
    <mergeCell ref="B19:F19"/>
    <mergeCell ref="O8:P8"/>
    <mergeCell ref="C11:D11"/>
    <mergeCell ref="C10:D10"/>
    <mergeCell ref="C9:D9"/>
    <mergeCell ref="C13:D13"/>
    <mergeCell ref="C12:D12"/>
    <mergeCell ref="A3:B7"/>
    <mergeCell ref="O3:P3"/>
    <mergeCell ref="K23:M23"/>
    <mergeCell ref="I23:J23"/>
    <mergeCell ref="A22:E22"/>
    <mergeCell ref="K4:N4"/>
    <mergeCell ref="K3:N3"/>
    <mergeCell ref="C8:D8"/>
    <mergeCell ref="E8:F8"/>
    <mergeCell ref="H8:I8"/>
    <mergeCell ref="J8:K8"/>
    <mergeCell ref="L8:N8"/>
    <mergeCell ref="H3:J3"/>
    <mergeCell ref="C7:G7"/>
    <mergeCell ref="A8:B13"/>
    <mergeCell ref="K7:N7"/>
    <mergeCell ref="K6:N6"/>
    <mergeCell ref="K5:N5"/>
  </mergeCells>
  <phoneticPr fontId="3" type="noConversion"/>
  <conditionalFormatting sqref="H8:I8 L8:N8 E9:P9">
    <cfRule type="containsBlanks" dxfId="0" priority="1">
      <formula>LEN(TRIM(E8))=0</formula>
    </cfRule>
  </conditionalFormatting>
  <dataValidations count="2">
    <dataValidation type="list" allowBlank="1" showInputMessage="1" showErrorMessage="1" sqref="E13:P13">
      <formula1>"회사 제출용, 진학용, 관공서 제출용, 법원 제출용, 기타"</formula1>
    </dataValidation>
    <dataValidation showInputMessage="1" showErrorMessage="1" sqref="E8:F8"/>
  </dataValidations>
  <printOptions horizontalCentered="1"/>
  <pageMargins left="0.59055118110236227" right="0.59055118110236227" top="0.78740157480314965" bottom="0.78740157480314965" header="0" footer="0"/>
  <pageSetup paperSize="9" scale="97" fitToHeight="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F29" sqref="F29"/>
    </sheetView>
  </sheetViews>
  <sheetFormatPr defaultRowHeight="17.399999999999999" x14ac:dyDescent="0.4"/>
  <cols>
    <col min="3" max="3" width="13" bestFit="1" customWidth="1"/>
  </cols>
  <sheetData>
    <row r="1" spans="1:3" x14ac:dyDescent="0.4">
      <c r="A1" t="s">
        <v>51</v>
      </c>
      <c r="B1" t="s">
        <v>48</v>
      </c>
    </row>
    <row r="2" spans="1:3" x14ac:dyDescent="0.4">
      <c r="A2">
        <v>11</v>
      </c>
      <c r="B2" t="s">
        <v>54</v>
      </c>
      <c r="C2" t="s">
        <v>272</v>
      </c>
    </row>
    <row r="3" spans="1:3" x14ac:dyDescent="0.4">
      <c r="A3">
        <v>12</v>
      </c>
      <c r="B3" t="s">
        <v>55</v>
      </c>
      <c r="C3" t="s">
        <v>272</v>
      </c>
    </row>
    <row r="4" spans="1:3" x14ac:dyDescent="0.4">
      <c r="A4">
        <v>13</v>
      </c>
      <c r="B4" t="s">
        <v>49</v>
      </c>
      <c r="C4" t="s">
        <v>273</v>
      </c>
    </row>
    <row r="5" spans="1:3" x14ac:dyDescent="0.4">
      <c r="A5">
        <v>14</v>
      </c>
      <c r="B5" t="s">
        <v>56</v>
      </c>
      <c r="C5" t="s">
        <v>116</v>
      </c>
    </row>
    <row r="6" spans="1:3" x14ac:dyDescent="0.4">
      <c r="A6">
        <v>21</v>
      </c>
      <c r="B6" t="s">
        <v>57</v>
      </c>
      <c r="C6" t="s">
        <v>272</v>
      </c>
    </row>
    <row r="7" spans="1:3" x14ac:dyDescent="0.4">
      <c r="A7">
        <v>22</v>
      </c>
      <c r="B7" t="s">
        <v>58</v>
      </c>
      <c r="C7" t="s">
        <v>272</v>
      </c>
    </row>
    <row r="8" spans="1:3" x14ac:dyDescent="0.4">
      <c r="A8">
        <v>23</v>
      </c>
      <c r="B8" t="s">
        <v>59</v>
      </c>
      <c r="C8" t="s">
        <v>273</v>
      </c>
    </row>
    <row r="9" spans="1:3" x14ac:dyDescent="0.4">
      <c r="A9">
        <v>24</v>
      </c>
      <c r="B9" t="s">
        <v>60</v>
      </c>
      <c r="C9" t="s">
        <v>273</v>
      </c>
    </row>
    <row r="10" spans="1:3" x14ac:dyDescent="0.4">
      <c r="A10">
        <v>31</v>
      </c>
      <c r="B10" t="s">
        <v>61</v>
      </c>
      <c r="C10" t="s">
        <v>272</v>
      </c>
    </row>
    <row r="11" spans="1:3" x14ac:dyDescent="0.4">
      <c r="A11">
        <v>32</v>
      </c>
      <c r="B11" t="s">
        <v>53</v>
      </c>
      <c r="C11" t="s">
        <v>272</v>
      </c>
    </row>
    <row r="12" spans="1:3" x14ac:dyDescent="0.4">
      <c r="A12">
        <v>33</v>
      </c>
      <c r="B12" t="s">
        <v>50</v>
      </c>
      <c r="C12" t="s">
        <v>274</v>
      </c>
    </row>
    <row r="13" spans="1:3" x14ac:dyDescent="0.4">
      <c r="A13">
        <v>34</v>
      </c>
      <c r="B13" t="s">
        <v>62</v>
      </c>
      <c r="C13" t="s">
        <v>274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16"/>
  <sheetViews>
    <sheetView tabSelected="1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G3" sqref="G3"/>
    </sheetView>
  </sheetViews>
  <sheetFormatPr defaultRowHeight="17.399999999999999" x14ac:dyDescent="0.4"/>
  <cols>
    <col min="1" max="1" width="11.8984375" customWidth="1"/>
    <col min="2" max="2" width="5.19921875" customWidth="1"/>
    <col min="3" max="3" width="3.3984375" customWidth="1"/>
    <col min="4" max="4" width="5.19921875" customWidth="1"/>
    <col min="5" max="5" width="9" customWidth="1"/>
    <col min="6" max="6" width="22.5" bestFit="1" customWidth="1"/>
    <col min="7" max="7" width="15.8984375" bestFit="1" customWidth="1"/>
    <col min="8" max="8" width="15.09765625" bestFit="1" customWidth="1"/>
    <col min="9" max="9" width="84.8984375" bestFit="1" customWidth="1"/>
  </cols>
  <sheetData>
    <row r="1" spans="1:9" x14ac:dyDescent="0.4">
      <c r="A1" t="s">
        <v>41</v>
      </c>
      <c r="B1" t="s">
        <v>21</v>
      </c>
      <c r="C1" t="s">
        <v>23</v>
      </c>
      <c r="D1" t="s">
        <v>37</v>
      </c>
      <c r="E1" t="s">
        <v>38</v>
      </c>
      <c r="F1" t="s">
        <v>43</v>
      </c>
      <c r="G1" t="s">
        <v>42</v>
      </c>
      <c r="H1" t="s">
        <v>39</v>
      </c>
      <c r="I1" t="s">
        <v>40</v>
      </c>
    </row>
    <row r="2" spans="1:9" x14ac:dyDescent="0.4">
      <c r="A2" t="str">
        <f>IF(C2&lt;3,"SW개발","스마트IoT")</f>
        <v>SW개발</v>
      </c>
      <c r="B2">
        <v>1</v>
      </c>
      <c r="C2">
        <v>1</v>
      </c>
      <c r="D2">
        <v>1</v>
      </c>
      <c r="E2" t="s">
        <v>63</v>
      </c>
      <c r="F2" t="str">
        <f t="shared" ref="F2:F44" si="0">A2&amp;B2&amp;C2&amp;E2</f>
        <v>SW개발11곽민성</v>
      </c>
    </row>
    <row r="3" spans="1:9" x14ac:dyDescent="0.4">
      <c r="A3" t="str">
        <f t="shared" ref="A3:A55" si="1">IF(C3&lt;3,"SW개발","스마트IoT")</f>
        <v>SW개발</v>
      </c>
      <c r="B3">
        <v>1</v>
      </c>
      <c r="C3">
        <v>1</v>
      </c>
      <c r="D3">
        <v>2</v>
      </c>
      <c r="E3" t="s">
        <v>64</v>
      </c>
      <c r="F3" t="str">
        <f t="shared" si="0"/>
        <v>SW개발11권태연</v>
      </c>
    </row>
    <row r="4" spans="1:9" x14ac:dyDescent="0.4">
      <c r="A4" t="str">
        <f t="shared" si="1"/>
        <v>SW개발</v>
      </c>
      <c r="B4">
        <v>1</v>
      </c>
      <c r="C4">
        <v>1</v>
      </c>
      <c r="D4">
        <v>3</v>
      </c>
      <c r="E4" t="s">
        <v>65</v>
      </c>
      <c r="F4" t="str">
        <f t="shared" si="0"/>
        <v>SW개발11김겸비</v>
      </c>
    </row>
    <row r="5" spans="1:9" x14ac:dyDescent="0.4">
      <c r="A5" t="str">
        <f t="shared" si="1"/>
        <v>SW개발</v>
      </c>
      <c r="B5">
        <v>1</v>
      </c>
      <c r="C5">
        <v>1</v>
      </c>
      <c r="D5">
        <v>4</v>
      </c>
      <c r="E5" t="s">
        <v>66</v>
      </c>
      <c r="F5" t="str">
        <f t="shared" si="0"/>
        <v>SW개발11김유준</v>
      </c>
    </row>
    <row r="6" spans="1:9" x14ac:dyDescent="0.4">
      <c r="A6" t="str">
        <f t="shared" si="1"/>
        <v>SW개발</v>
      </c>
      <c r="B6">
        <v>1</v>
      </c>
      <c r="C6">
        <v>1</v>
      </c>
      <c r="D6">
        <v>5</v>
      </c>
      <c r="E6" t="s">
        <v>67</v>
      </c>
      <c r="F6" t="str">
        <f t="shared" si="0"/>
        <v>SW개발11김재균</v>
      </c>
    </row>
    <row r="7" spans="1:9" x14ac:dyDescent="0.4">
      <c r="A7" t="str">
        <f t="shared" si="1"/>
        <v>SW개발</v>
      </c>
      <c r="B7">
        <v>1</v>
      </c>
      <c r="C7">
        <v>1</v>
      </c>
      <c r="D7">
        <v>6</v>
      </c>
      <c r="E7" t="s">
        <v>68</v>
      </c>
      <c r="F7" t="str">
        <f t="shared" si="0"/>
        <v>SW개발11김주은</v>
      </c>
    </row>
    <row r="8" spans="1:9" x14ac:dyDescent="0.4">
      <c r="A8" t="str">
        <f t="shared" si="1"/>
        <v>SW개발</v>
      </c>
      <c r="B8">
        <v>1</v>
      </c>
      <c r="C8">
        <v>1</v>
      </c>
      <c r="D8">
        <v>7</v>
      </c>
      <c r="E8" t="s">
        <v>69</v>
      </c>
      <c r="F8" t="str">
        <f t="shared" si="0"/>
        <v>SW개발11문혜성</v>
      </c>
    </row>
    <row r="9" spans="1:9" x14ac:dyDescent="0.4">
      <c r="A9" t="str">
        <f t="shared" si="1"/>
        <v>SW개발</v>
      </c>
      <c r="B9">
        <v>1</v>
      </c>
      <c r="C9">
        <v>1</v>
      </c>
      <c r="D9">
        <v>8</v>
      </c>
      <c r="E9" t="s">
        <v>70</v>
      </c>
      <c r="F9" t="str">
        <f t="shared" si="0"/>
        <v>SW개발11박유현</v>
      </c>
    </row>
    <row r="10" spans="1:9" x14ac:dyDescent="0.4">
      <c r="A10" t="str">
        <f t="shared" si="1"/>
        <v>SW개발</v>
      </c>
      <c r="B10">
        <v>1</v>
      </c>
      <c r="C10">
        <v>1</v>
      </c>
      <c r="D10">
        <v>9</v>
      </c>
      <c r="E10" t="s">
        <v>71</v>
      </c>
      <c r="F10" t="str">
        <f t="shared" si="0"/>
        <v>SW개발11박진우</v>
      </c>
    </row>
    <row r="11" spans="1:9" x14ac:dyDescent="0.4">
      <c r="A11" t="str">
        <f t="shared" si="1"/>
        <v>SW개발</v>
      </c>
      <c r="B11">
        <v>1</v>
      </c>
      <c r="C11">
        <v>1</v>
      </c>
      <c r="D11">
        <v>10</v>
      </c>
      <c r="E11" t="s">
        <v>72</v>
      </c>
      <c r="F11" t="str">
        <f t="shared" si="0"/>
        <v>SW개발11방가온</v>
      </c>
    </row>
    <row r="12" spans="1:9" x14ac:dyDescent="0.4">
      <c r="A12" t="str">
        <f t="shared" si="1"/>
        <v>SW개발</v>
      </c>
      <c r="B12">
        <v>1</v>
      </c>
      <c r="C12">
        <v>1</v>
      </c>
      <c r="D12">
        <v>11</v>
      </c>
      <c r="E12" t="s">
        <v>73</v>
      </c>
      <c r="F12" t="str">
        <f t="shared" si="0"/>
        <v>SW개발11손찬형</v>
      </c>
    </row>
    <row r="13" spans="1:9" x14ac:dyDescent="0.4">
      <c r="A13" t="str">
        <f t="shared" si="1"/>
        <v>SW개발</v>
      </c>
      <c r="B13">
        <v>1</v>
      </c>
      <c r="C13">
        <v>1</v>
      </c>
      <c r="D13">
        <v>12</v>
      </c>
      <c r="E13" t="s">
        <v>74</v>
      </c>
      <c r="F13" t="str">
        <f t="shared" si="0"/>
        <v>SW개발11신희성</v>
      </c>
    </row>
    <row r="14" spans="1:9" x14ac:dyDescent="0.4">
      <c r="A14" t="str">
        <f t="shared" si="1"/>
        <v>SW개발</v>
      </c>
      <c r="B14">
        <v>1</v>
      </c>
      <c r="C14">
        <v>1</v>
      </c>
      <c r="D14">
        <v>13</v>
      </c>
      <c r="E14" t="s">
        <v>75</v>
      </c>
      <c r="F14" t="str">
        <f t="shared" si="0"/>
        <v>SW개발11엄지성</v>
      </c>
    </row>
    <row r="15" spans="1:9" x14ac:dyDescent="0.4">
      <c r="A15" t="str">
        <f t="shared" si="1"/>
        <v>SW개발</v>
      </c>
      <c r="B15">
        <v>1</v>
      </c>
      <c r="C15">
        <v>1</v>
      </c>
      <c r="D15">
        <v>14</v>
      </c>
      <c r="E15" t="s">
        <v>76</v>
      </c>
      <c r="F15" t="str">
        <f t="shared" si="0"/>
        <v>SW개발11이승화</v>
      </c>
    </row>
    <row r="16" spans="1:9" x14ac:dyDescent="0.4">
      <c r="A16" t="str">
        <f t="shared" si="1"/>
        <v>SW개발</v>
      </c>
      <c r="B16">
        <v>1</v>
      </c>
      <c r="C16">
        <v>1</v>
      </c>
      <c r="D16">
        <v>15</v>
      </c>
      <c r="E16" t="s">
        <v>77</v>
      </c>
      <c r="F16" t="str">
        <f t="shared" si="0"/>
        <v>SW개발11이예나</v>
      </c>
    </row>
    <row r="17" spans="1:6" x14ac:dyDescent="0.4">
      <c r="A17" t="str">
        <f t="shared" si="1"/>
        <v>SW개발</v>
      </c>
      <c r="B17">
        <v>1</v>
      </c>
      <c r="C17">
        <v>1</v>
      </c>
      <c r="D17">
        <v>16</v>
      </c>
      <c r="E17" t="s">
        <v>78</v>
      </c>
      <c r="F17" t="str">
        <f t="shared" si="0"/>
        <v>SW개발11이진헌</v>
      </c>
    </row>
    <row r="18" spans="1:6" x14ac:dyDescent="0.4">
      <c r="A18" t="str">
        <f t="shared" si="1"/>
        <v>SW개발</v>
      </c>
      <c r="B18">
        <v>1</v>
      </c>
      <c r="C18">
        <v>1</v>
      </c>
      <c r="D18">
        <v>17</v>
      </c>
      <c r="E18" t="s">
        <v>79</v>
      </c>
      <c r="F18" t="str">
        <f t="shared" si="0"/>
        <v>SW개발11전민혁</v>
      </c>
    </row>
    <row r="19" spans="1:6" x14ac:dyDescent="0.4">
      <c r="A19" t="str">
        <f t="shared" si="1"/>
        <v>SW개발</v>
      </c>
      <c r="B19">
        <v>1</v>
      </c>
      <c r="C19">
        <v>1</v>
      </c>
      <c r="D19">
        <v>18</v>
      </c>
      <c r="E19" t="s">
        <v>80</v>
      </c>
      <c r="F19" t="str">
        <f t="shared" si="0"/>
        <v>SW개발11정성찬</v>
      </c>
    </row>
    <row r="20" spans="1:6" x14ac:dyDescent="0.4">
      <c r="A20" t="str">
        <f t="shared" si="1"/>
        <v>SW개발</v>
      </c>
      <c r="B20">
        <v>1</v>
      </c>
      <c r="C20">
        <v>2</v>
      </c>
      <c r="D20">
        <v>1</v>
      </c>
      <c r="E20" t="s">
        <v>81</v>
      </c>
      <c r="F20" t="str">
        <f t="shared" si="0"/>
        <v>SW개발12곽나혁</v>
      </c>
    </row>
    <row r="21" spans="1:6" x14ac:dyDescent="0.4">
      <c r="A21" t="str">
        <f t="shared" si="1"/>
        <v>SW개발</v>
      </c>
      <c r="B21">
        <v>1</v>
      </c>
      <c r="C21">
        <v>2</v>
      </c>
      <c r="D21">
        <v>2</v>
      </c>
      <c r="E21" t="s">
        <v>82</v>
      </c>
      <c r="F21" t="str">
        <f t="shared" si="0"/>
        <v>SW개발12김준표</v>
      </c>
    </row>
    <row r="22" spans="1:6" x14ac:dyDescent="0.4">
      <c r="A22" t="str">
        <f t="shared" si="1"/>
        <v>SW개발</v>
      </c>
      <c r="B22">
        <v>1</v>
      </c>
      <c r="C22">
        <v>2</v>
      </c>
      <c r="D22">
        <v>3</v>
      </c>
      <c r="E22" t="s">
        <v>83</v>
      </c>
      <c r="F22" t="str">
        <f t="shared" si="0"/>
        <v>SW개발12김태윤</v>
      </c>
    </row>
    <row r="23" spans="1:6" x14ac:dyDescent="0.4">
      <c r="A23" t="str">
        <f t="shared" si="1"/>
        <v>SW개발</v>
      </c>
      <c r="B23">
        <v>1</v>
      </c>
      <c r="C23">
        <v>2</v>
      </c>
      <c r="D23">
        <v>4</v>
      </c>
      <c r="E23" t="s">
        <v>84</v>
      </c>
      <c r="F23" t="str">
        <f t="shared" si="0"/>
        <v>SW개발12김현</v>
      </c>
    </row>
    <row r="24" spans="1:6" x14ac:dyDescent="0.4">
      <c r="A24" t="str">
        <f t="shared" si="1"/>
        <v>SW개발</v>
      </c>
      <c r="B24">
        <v>1</v>
      </c>
      <c r="C24">
        <v>2</v>
      </c>
      <c r="D24">
        <v>5</v>
      </c>
      <c r="E24" t="s">
        <v>85</v>
      </c>
      <c r="F24" t="str">
        <f t="shared" si="0"/>
        <v>SW개발12나혜찬</v>
      </c>
    </row>
    <row r="25" spans="1:6" x14ac:dyDescent="0.4">
      <c r="A25" t="str">
        <f t="shared" si="1"/>
        <v>SW개발</v>
      </c>
      <c r="B25">
        <v>1</v>
      </c>
      <c r="C25">
        <v>2</v>
      </c>
      <c r="D25">
        <v>6</v>
      </c>
      <c r="E25" t="s">
        <v>86</v>
      </c>
      <c r="F25" t="str">
        <f t="shared" si="0"/>
        <v>SW개발12류지민</v>
      </c>
    </row>
    <row r="26" spans="1:6" x14ac:dyDescent="0.4">
      <c r="A26" t="str">
        <f t="shared" si="1"/>
        <v>SW개발</v>
      </c>
      <c r="B26">
        <v>1</v>
      </c>
      <c r="C26">
        <v>2</v>
      </c>
      <c r="D26">
        <v>7</v>
      </c>
      <c r="E26" t="s">
        <v>87</v>
      </c>
      <c r="F26" t="str">
        <f t="shared" si="0"/>
        <v>SW개발12명재원</v>
      </c>
    </row>
    <row r="27" spans="1:6" x14ac:dyDescent="0.4">
      <c r="A27" t="str">
        <f t="shared" si="1"/>
        <v>SW개발</v>
      </c>
      <c r="B27">
        <v>1</v>
      </c>
      <c r="C27">
        <v>2</v>
      </c>
      <c r="D27">
        <v>8</v>
      </c>
      <c r="E27" t="s">
        <v>88</v>
      </c>
      <c r="F27" t="str">
        <f t="shared" si="0"/>
        <v>SW개발12박경일</v>
      </c>
    </row>
    <row r="28" spans="1:6" x14ac:dyDescent="0.4">
      <c r="A28" t="str">
        <f t="shared" si="1"/>
        <v>SW개발</v>
      </c>
      <c r="B28">
        <v>1</v>
      </c>
      <c r="C28">
        <v>2</v>
      </c>
      <c r="D28">
        <v>9</v>
      </c>
      <c r="E28" t="s">
        <v>89</v>
      </c>
      <c r="F28" t="str">
        <f t="shared" si="0"/>
        <v>SW개발12배지수</v>
      </c>
    </row>
    <row r="29" spans="1:6" x14ac:dyDescent="0.4">
      <c r="A29" t="str">
        <f t="shared" si="1"/>
        <v>SW개발</v>
      </c>
      <c r="B29">
        <v>1</v>
      </c>
      <c r="C29">
        <v>2</v>
      </c>
      <c r="D29">
        <v>10</v>
      </c>
      <c r="E29" t="s">
        <v>90</v>
      </c>
      <c r="F29" t="str">
        <f t="shared" si="0"/>
        <v>SW개발12신승호</v>
      </c>
    </row>
    <row r="30" spans="1:6" x14ac:dyDescent="0.4">
      <c r="A30" t="str">
        <f t="shared" si="1"/>
        <v>SW개발</v>
      </c>
      <c r="B30">
        <v>1</v>
      </c>
      <c r="C30">
        <v>2</v>
      </c>
      <c r="D30">
        <v>11</v>
      </c>
      <c r="E30" t="s">
        <v>46</v>
      </c>
      <c r="F30" t="str">
        <f t="shared" si="0"/>
        <v>SW개발12안수빈</v>
      </c>
    </row>
    <row r="31" spans="1:6" x14ac:dyDescent="0.4">
      <c r="A31" t="str">
        <f t="shared" si="1"/>
        <v>SW개발</v>
      </c>
      <c r="B31">
        <v>1</v>
      </c>
      <c r="C31">
        <v>2</v>
      </c>
      <c r="D31">
        <v>12</v>
      </c>
      <c r="E31" t="s">
        <v>91</v>
      </c>
      <c r="F31" t="str">
        <f t="shared" si="0"/>
        <v>SW개발12양동찬</v>
      </c>
    </row>
    <row r="32" spans="1:6" x14ac:dyDescent="0.4">
      <c r="A32" t="str">
        <f t="shared" si="1"/>
        <v>SW개발</v>
      </c>
      <c r="B32">
        <v>1</v>
      </c>
      <c r="C32">
        <v>2</v>
      </c>
      <c r="D32">
        <v>13</v>
      </c>
      <c r="E32" t="s">
        <v>92</v>
      </c>
      <c r="F32" t="str">
        <f t="shared" si="0"/>
        <v>SW개발12오은찬</v>
      </c>
    </row>
    <row r="33" spans="1:6" x14ac:dyDescent="0.4">
      <c r="A33" t="str">
        <f t="shared" si="1"/>
        <v>SW개발</v>
      </c>
      <c r="B33">
        <v>1</v>
      </c>
      <c r="C33">
        <v>2</v>
      </c>
      <c r="D33">
        <v>14</v>
      </c>
      <c r="E33" t="s">
        <v>93</v>
      </c>
      <c r="F33" t="str">
        <f t="shared" si="0"/>
        <v>SW개발12이성민</v>
      </c>
    </row>
    <row r="34" spans="1:6" x14ac:dyDescent="0.4">
      <c r="A34" t="str">
        <f t="shared" si="1"/>
        <v>SW개발</v>
      </c>
      <c r="B34">
        <v>1</v>
      </c>
      <c r="C34">
        <v>2</v>
      </c>
      <c r="D34">
        <v>15</v>
      </c>
      <c r="E34" t="s">
        <v>94</v>
      </c>
      <c r="F34" t="str">
        <f t="shared" si="0"/>
        <v>SW개발12장예슬</v>
      </c>
    </row>
    <row r="35" spans="1:6" x14ac:dyDescent="0.4">
      <c r="A35" t="str">
        <f t="shared" si="1"/>
        <v>SW개발</v>
      </c>
      <c r="B35">
        <v>1</v>
      </c>
      <c r="C35">
        <v>2</v>
      </c>
      <c r="D35">
        <v>16</v>
      </c>
      <c r="E35" t="s">
        <v>95</v>
      </c>
      <c r="F35" t="str">
        <f t="shared" si="0"/>
        <v>SW개발12정상혁</v>
      </c>
    </row>
    <row r="36" spans="1:6" x14ac:dyDescent="0.4">
      <c r="A36" t="str">
        <f t="shared" si="1"/>
        <v>SW개발</v>
      </c>
      <c r="B36">
        <v>1</v>
      </c>
      <c r="C36">
        <v>2</v>
      </c>
      <c r="D36">
        <v>17</v>
      </c>
      <c r="E36" t="s">
        <v>96</v>
      </c>
      <c r="F36" t="str">
        <f t="shared" si="0"/>
        <v>SW개발12정세준</v>
      </c>
    </row>
    <row r="37" spans="1:6" x14ac:dyDescent="0.4">
      <c r="A37" t="str">
        <f t="shared" si="1"/>
        <v>SW개발</v>
      </c>
      <c r="B37">
        <v>1</v>
      </c>
      <c r="C37">
        <v>2</v>
      </c>
      <c r="D37">
        <v>18</v>
      </c>
      <c r="E37" t="s">
        <v>97</v>
      </c>
      <c r="F37" t="str">
        <f t="shared" si="0"/>
        <v>SW개발12정태관</v>
      </c>
    </row>
    <row r="38" spans="1:6" x14ac:dyDescent="0.4">
      <c r="A38" t="str">
        <f t="shared" si="1"/>
        <v>스마트IoT</v>
      </c>
      <c r="B38">
        <v>1</v>
      </c>
      <c r="C38">
        <v>3</v>
      </c>
      <c r="D38">
        <v>1</v>
      </c>
      <c r="E38" t="s">
        <v>98</v>
      </c>
      <c r="F38" t="str">
        <f t="shared" si="0"/>
        <v>스마트IoT13김동학</v>
      </c>
    </row>
    <row r="39" spans="1:6" x14ac:dyDescent="0.4">
      <c r="A39" t="str">
        <f t="shared" si="1"/>
        <v>스마트IoT</v>
      </c>
      <c r="B39">
        <v>1</v>
      </c>
      <c r="C39">
        <v>3</v>
      </c>
      <c r="D39">
        <v>2</v>
      </c>
      <c r="E39" t="s">
        <v>99</v>
      </c>
      <c r="F39" t="str">
        <f t="shared" si="0"/>
        <v>스마트IoT13김서준</v>
      </c>
    </row>
    <row r="40" spans="1:6" x14ac:dyDescent="0.4">
      <c r="A40" t="str">
        <f t="shared" si="1"/>
        <v>스마트IoT</v>
      </c>
      <c r="B40">
        <v>1</v>
      </c>
      <c r="C40">
        <v>3</v>
      </c>
      <c r="D40">
        <v>3</v>
      </c>
      <c r="E40" t="s">
        <v>100</v>
      </c>
      <c r="F40" t="str">
        <f t="shared" si="0"/>
        <v>스마트IoT13김시후</v>
      </c>
    </row>
    <row r="41" spans="1:6" x14ac:dyDescent="0.4">
      <c r="A41" t="str">
        <f t="shared" si="1"/>
        <v>스마트IoT</v>
      </c>
      <c r="B41">
        <v>1</v>
      </c>
      <c r="C41">
        <v>3</v>
      </c>
      <c r="D41">
        <v>4</v>
      </c>
      <c r="E41" t="s">
        <v>101</v>
      </c>
      <c r="F41" t="str">
        <f t="shared" si="0"/>
        <v>스마트IoT13김예찬</v>
      </c>
    </row>
    <row r="42" spans="1:6" x14ac:dyDescent="0.4">
      <c r="A42" t="str">
        <f t="shared" si="1"/>
        <v>스마트IoT</v>
      </c>
      <c r="B42">
        <v>1</v>
      </c>
      <c r="C42">
        <v>3</v>
      </c>
      <c r="D42">
        <v>5</v>
      </c>
      <c r="E42" t="s">
        <v>102</v>
      </c>
      <c r="F42" t="str">
        <f t="shared" si="0"/>
        <v>스마트IoT13김유성</v>
      </c>
    </row>
    <row r="43" spans="1:6" x14ac:dyDescent="0.4">
      <c r="A43" t="str">
        <f t="shared" si="1"/>
        <v>스마트IoT</v>
      </c>
      <c r="B43">
        <v>1</v>
      </c>
      <c r="C43">
        <v>3</v>
      </c>
      <c r="D43">
        <v>6</v>
      </c>
      <c r="E43" t="s">
        <v>103</v>
      </c>
      <c r="F43" t="str">
        <f t="shared" si="0"/>
        <v>스마트IoT13김은후</v>
      </c>
    </row>
    <row r="44" spans="1:6" x14ac:dyDescent="0.4">
      <c r="A44" t="str">
        <f t="shared" si="1"/>
        <v>스마트IoT</v>
      </c>
      <c r="B44">
        <v>1</v>
      </c>
      <c r="C44">
        <v>3</v>
      </c>
      <c r="D44">
        <v>7</v>
      </c>
      <c r="E44" t="s">
        <v>104</v>
      </c>
      <c r="F44" t="str">
        <f t="shared" si="0"/>
        <v>스마트IoT13나윤후</v>
      </c>
    </row>
    <row r="45" spans="1:6" x14ac:dyDescent="0.4">
      <c r="A45" t="str">
        <f t="shared" si="1"/>
        <v>스마트IoT</v>
      </c>
      <c r="B45">
        <v>1</v>
      </c>
      <c r="C45">
        <v>3</v>
      </c>
      <c r="D45">
        <v>8</v>
      </c>
      <c r="E45" t="s">
        <v>105</v>
      </c>
      <c r="F45" t="str">
        <f t="shared" ref="F45:F108" si="2">A45&amp;B45&amp;C45&amp;E45</f>
        <v>스마트IoT13민우석</v>
      </c>
    </row>
    <row r="46" spans="1:6" x14ac:dyDescent="0.4">
      <c r="A46" t="str">
        <f t="shared" si="1"/>
        <v>스마트IoT</v>
      </c>
      <c r="B46">
        <v>1</v>
      </c>
      <c r="C46">
        <v>3</v>
      </c>
      <c r="D46">
        <v>9</v>
      </c>
      <c r="E46" t="s">
        <v>106</v>
      </c>
      <c r="F46" t="str">
        <f t="shared" si="2"/>
        <v>스마트IoT13박미리</v>
      </c>
    </row>
    <row r="47" spans="1:6" x14ac:dyDescent="0.4">
      <c r="A47" t="str">
        <f t="shared" si="1"/>
        <v>스마트IoT</v>
      </c>
      <c r="B47">
        <v>1</v>
      </c>
      <c r="C47">
        <v>3</v>
      </c>
      <c r="D47">
        <v>10</v>
      </c>
      <c r="E47" t="s">
        <v>107</v>
      </c>
      <c r="F47" t="str">
        <f t="shared" si="2"/>
        <v>스마트IoT13박민준</v>
      </c>
    </row>
    <row r="48" spans="1:6" x14ac:dyDescent="0.4">
      <c r="A48" t="str">
        <f t="shared" si="1"/>
        <v>스마트IoT</v>
      </c>
      <c r="B48">
        <v>1</v>
      </c>
      <c r="C48">
        <v>3</v>
      </c>
      <c r="D48">
        <v>11</v>
      </c>
      <c r="E48" t="s">
        <v>108</v>
      </c>
      <c r="F48" t="str">
        <f t="shared" si="2"/>
        <v>스마트IoT13백송주</v>
      </c>
    </row>
    <row r="49" spans="1:9" x14ac:dyDescent="0.4">
      <c r="A49" t="str">
        <f t="shared" si="1"/>
        <v>스마트IoT</v>
      </c>
      <c r="B49">
        <v>1</v>
      </c>
      <c r="C49">
        <v>3</v>
      </c>
      <c r="D49">
        <v>12</v>
      </c>
      <c r="E49" t="s">
        <v>109</v>
      </c>
      <c r="F49" t="str">
        <f t="shared" si="2"/>
        <v>스마트IoT13변승규</v>
      </c>
    </row>
    <row r="50" spans="1:9" x14ac:dyDescent="0.4">
      <c r="A50" t="str">
        <f t="shared" si="1"/>
        <v>스마트IoT</v>
      </c>
      <c r="B50">
        <v>1</v>
      </c>
      <c r="C50">
        <v>3</v>
      </c>
      <c r="D50">
        <v>13</v>
      </c>
      <c r="E50" t="s">
        <v>110</v>
      </c>
      <c r="F50" t="str">
        <f t="shared" si="2"/>
        <v>스마트IoT13변정현</v>
      </c>
    </row>
    <row r="51" spans="1:9" x14ac:dyDescent="0.4">
      <c r="A51" t="str">
        <f t="shared" si="1"/>
        <v>스마트IoT</v>
      </c>
      <c r="B51">
        <v>1</v>
      </c>
      <c r="C51">
        <v>3</v>
      </c>
      <c r="D51">
        <v>14</v>
      </c>
      <c r="E51" t="s">
        <v>111</v>
      </c>
      <c r="F51" t="str">
        <f t="shared" si="2"/>
        <v>스마트IoT13서지완</v>
      </c>
    </row>
    <row r="52" spans="1:9" x14ac:dyDescent="0.4">
      <c r="A52" t="str">
        <f t="shared" si="1"/>
        <v>스마트IoT</v>
      </c>
      <c r="B52">
        <v>1</v>
      </c>
      <c r="C52">
        <v>3</v>
      </c>
      <c r="D52">
        <v>15</v>
      </c>
      <c r="E52" t="s">
        <v>112</v>
      </c>
      <c r="F52" t="str">
        <f t="shared" si="2"/>
        <v>스마트IoT13이건주</v>
      </c>
    </row>
    <row r="53" spans="1:9" x14ac:dyDescent="0.4">
      <c r="A53" t="str">
        <f t="shared" si="1"/>
        <v>스마트IoT</v>
      </c>
      <c r="B53">
        <v>1</v>
      </c>
      <c r="C53">
        <v>3</v>
      </c>
      <c r="D53">
        <v>16</v>
      </c>
      <c r="E53" t="s">
        <v>113</v>
      </c>
      <c r="F53" t="str">
        <f t="shared" si="2"/>
        <v>스마트IoT13정승표</v>
      </c>
    </row>
    <row r="54" spans="1:9" x14ac:dyDescent="0.4">
      <c r="A54" t="str">
        <f t="shared" si="1"/>
        <v>스마트IoT</v>
      </c>
      <c r="B54">
        <v>1</v>
      </c>
      <c r="C54">
        <v>3</v>
      </c>
      <c r="D54">
        <v>17</v>
      </c>
      <c r="E54" t="s">
        <v>114</v>
      </c>
      <c r="F54" t="str">
        <f t="shared" si="2"/>
        <v>스마트IoT13주경주</v>
      </c>
    </row>
    <row r="55" spans="1:9" x14ac:dyDescent="0.4">
      <c r="A55" t="str">
        <f t="shared" si="1"/>
        <v>스마트IoT</v>
      </c>
      <c r="B55">
        <v>1</v>
      </c>
      <c r="C55">
        <v>3</v>
      </c>
      <c r="D55">
        <v>18</v>
      </c>
      <c r="E55" t="s">
        <v>115</v>
      </c>
      <c r="F55" t="str">
        <f t="shared" si="2"/>
        <v>스마트IoT13진건희</v>
      </c>
    </row>
    <row r="56" spans="1:9" x14ac:dyDescent="0.4">
      <c r="A56" t="s">
        <v>116</v>
      </c>
      <c r="B56">
        <v>1</v>
      </c>
      <c r="C56">
        <v>4</v>
      </c>
      <c r="D56">
        <v>1</v>
      </c>
      <c r="E56" t="s">
        <v>117</v>
      </c>
      <c r="F56" t="str">
        <f t="shared" si="2"/>
        <v>인공지능(AI)14강민규</v>
      </c>
    </row>
    <row r="57" spans="1:9" x14ac:dyDescent="0.4">
      <c r="A57" t="s">
        <v>116</v>
      </c>
      <c r="B57">
        <v>1</v>
      </c>
      <c r="C57">
        <v>4</v>
      </c>
      <c r="D57">
        <v>2</v>
      </c>
      <c r="E57" t="s">
        <v>118</v>
      </c>
      <c r="F57" t="str">
        <f t="shared" si="2"/>
        <v>인공지능(AI)14강선무</v>
      </c>
    </row>
    <row r="58" spans="1:9" x14ac:dyDescent="0.4">
      <c r="A58" t="s">
        <v>116</v>
      </c>
      <c r="B58">
        <v>1</v>
      </c>
      <c r="C58">
        <v>4</v>
      </c>
      <c r="D58">
        <v>3</v>
      </c>
      <c r="E58" t="s">
        <v>119</v>
      </c>
      <c r="F58" t="str">
        <f t="shared" si="2"/>
        <v>인공지능(AI)14김도연</v>
      </c>
    </row>
    <row r="59" spans="1:9" x14ac:dyDescent="0.4">
      <c r="A59" t="s">
        <v>116</v>
      </c>
      <c r="B59">
        <v>1</v>
      </c>
      <c r="C59">
        <v>4</v>
      </c>
      <c r="D59">
        <v>4</v>
      </c>
      <c r="E59" t="s">
        <v>120</v>
      </c>
      <c r="F59" t="str">
        <f t="shared" si="2"/>
        <v>인공지능(AI)14김동연</v>
      </c>
    </row>
    <row r="60" spans="1:9" x14ac:dyDescent="0.4">
      <c r="A60" t="s">
        <v>116</v>
      </c>
      <c r="B60">
        <v>1</v>
      </c>
      <c r="C60">
        <v>4</v>
      </c>
      <c r="D60">
        <v>5</v>
      </c>
      <c r="E60" t="s">
        <v>121</v>
      </c>
      <c r="F60" t="str">
        <f t="shared" si="2"/>
        <v>인공지능(AI)14김진원</v>
      </c>
    </row>
    <row r="61" spans="1:9" x14ac:dyDescent="0.4">
      <c r="A61" t="s">
        <v>116</v>
      </c>
      <c r="B61">
        <v>1</v>
      </c>
      <c r="C61">
        <v>4</v>
      </c>
      <c r="D61">
        <v>6</v>
      </c>
      <c r="E61" t="s">
        <v>122</v>
      </c>
      <c r="F61" t="str">
        <f t="shared" si="2"/>
        <v>인공지능(AI)14류현성</v>
      </c>
    </row>
    <row r="62" spans="1:9" x14ac:dyDescent="0.4">
      <c r="A62" t="s">
        <v>116</v>
      </c>
      <c r="B62">
        <v>1</v>
      </c>
      <c r="C62">
        <v>4</v>
      </c>
      <c r="D62">
        <v>7</v>
      </c>
      <c r="E62" t="s">
        <v>123</v>
      </c>
      <c r="F62" t="str">
        <f t="shared" si="2"/>
        <v>인공지능(AI)14박종환</v>
      </c>
      <c r="G62" s="7"/>
      <c r="H62" s="7"/>
      <c r="I62" s="8"/>
    </row>
    <row r="63" spans="1:9" x14ac:dyDescent="0.4">
      <c r="A63" t="s">
        <v>116</v>
      </c>
      <c r="B63">
        <v>1</v>
      </c>
      <c r="C63">
        <v>4</v>
      </c>
      <c r="D63">
        <v>8</v>
      </c>
      <c r="E63" t="s">
        <v>124</v>
      </c>
      <c r="F63" t="str">
        <f t="shared" si="2"/>
        <v>인공지능(AI)14서목룡</v>
      </c>
      <c r="G63" s="7"/>
      <c r="H63" s="7"/>
      <c r="I63" s="8"/>
    </row>
    <row r="64" spans="1:9" x14ac:dyDescent="0.4">
      <c r="A64" t="s">
        <v>116</v>
      </c>
      <c r="B64">
        <v>1</v>
      </c>
      <c r="C64">
        <v>4</v>
      </c>
      <c r="D64">
        <v>9</v>
      </c>
      <c r="E64" t="s">
        <v>125</v>
      </c>
      <c r="F64" t="str">
        <f t="shared" si="2"/>
        <v>인공지능(AI)14용민주</v>
      </c>
      <c r="G64" s="7"/>
      <c r="H64" s="7"/>
      <c r="I64" s="8"/>
    </row>
    <row r="65" spans="1:9" x14ac:dyDescent="0.4">
      <c r="A65" t="s">
        <v>116</v>
      </c>
      <c r="B65">
        <v>1</v>
      </c>
      <c r="C65">
        <v>4</v>
      </c>
      <c r="D65">
        <v>10</v>
      </c>
      <c r="E65" t="s">
        <v>126</v>
      </c>
      <c r="F65" t="str">
        <f t="shared" si="2"/>
        <v>인공지능(AI)14윤상혁</v>
      </c>
      <c r="G65" s="7"/>
      <c r="H65" s="7"/>
      <c r="I65" s="8"/>
    </row>
    <row r="66" spans="1:9" x14ac:dyDescent="0.4">
      <c r="A66" t="s">
        <v>116</v>
      </c>
      <c r="B66">
        <v>1</v>
      </c>
      <c r="C66">
        <v>4</v>
      </c>
      <c r="D66">
        <v>11</v>
      </c>
      <c r="E66" t="s">
        <v>127</v>
      </c>
      <c r="F66" t="str">
        <f t="shared" si="2"/>
        <v>인공지능(AI)14이명훈</v>
      </c>
      <c r="G66" s="7"/>
      <c r="H66" s="7"/>
      <c r="I66" s="8"/>
    </row>
    <row r="67" spans="1:9" x14ac:dyDescent="0.4">
      <c r="A67" t="s">
        <v>116</v>
      </c>
      <c r="B67">
        <v>1</v>
      </c>
      <c r="C67">
        <v>4</v>
      </c>
      <c r="D67">
        <v>12</v>
      </c>
      <c r="E67" t="s">
        <v>128</v>
      </c>
      <c r="F67" t="str">
        <f t="shared" si="2"/>
        <v>인공지능(AI)14이지혁</v>
      </c>
      <c r="G67" s="7"/>
      <c r="H67" s="7"/>
      <c r="I67" s="8"/>
    </row>
    <row r="68" spans="1:9" x14ac:dyDescent="0.4">
      <c r="A68" t="s">
        <v>116</v>
      </c>
      <c r="B68">
        <v>1</v>
      </c>
      <c r="C68">
        <v>4</v>
      </c>
      <c r="D68">
        <v>13</v>
      </c>
      <c r="E68" t="s">
        <v>129</v>
      </c>
      <c r="F68" t="str">
        <f t="shared" si="2"/>
        <v>인공지능(AI)14이현준</v>
      </c>
      <c r="G68" s="7"/>
      <c r="H68" s="7"/>
      <c r="I68" s="8"/>
    </row>
    <row r="69" spans="1:9" x14ac:dyDescent="0.4">
      <c r="A69" t="s">
        <v>116</v>
      </c>
      <c r="B69">
        <v>1</v>
      </c>
      <c r="C69">
        <v>4</v>
      </c>
      <c r="D69">
        <v>14</v>
      </c>
      <c r="E69" t="s">
        <v>130</v>
      </c>
      <c r="F69" t="str">
        <f t="shared" si="2"/>
        <v>인공지능(AI)14장수희</v>
      </c>
      <c r="G69" s="7"/>
      <c r="H69" s="7"/>
      <c r="I69" s="8"/>
    </row>
    <row r="70" spans="1:9" x14ac:dyDescent="0.4">
      <c r="A70" t="s">
        <v>116</v>
      </c>
      <c r="B70">
        <v>1</v>
      </c>
      <c r="C70">
        <v>4</v>
      </c>
      <c r="D70">
        <v>15</v>
      </c>
      <c r="E70" t="s">
        <v>131</v>
      </c>
      <c r="F70" t="str">
        <f t="shared" si="2"/>
        <v>인공지능(AI)14최보빈</v>
      </c>
      <c r="G70" s="7"/>
      <c r="H70" s="7"/>
      <c r="I70" s="8"/>
    </row>
    <row r="71" spans="1:9" x14ac:dyDescent="0.4">
      <c r="A71" t="s">
        <v>116</v>
      </c>
      <c r="B71">
        <v>1</v>
      </c>
      <c r="C71">
        <v>4</v>
      </c>
      <c r="D71">
        <v>16</v>
      </c>
      <c r="E71" t="s">
        <v>132</v>
      </c>
      <c r="F71" t="str">
        <f t="shared" si="2"/>
        <v>인공지능(AI)14한수인</v>
      </c>
      <c r="G71" s="7"/>
      <c r="H71" s="7"/>
      <c r="I71" s="8"/>
    </row>
    <row r="72" spans="1:9" x14ac:dyDescent="0.4">
      <c r="A72" t="s">
        <v>116</v>
      </c>
      <c r="B72">
        <v>1</v>
      </c>
      <c r="C72">
        <v>4</v>
      </c>
      <c r="D72">
        <v>17</v>
      </c>
      <c r="E72" t="s">
        <v>133</v>
      </c>
      <c r="F72" t="str">
        <f t="shared" si="2"/>
        <v>인공지능(AI)14한재형</v>
      </c>
      <c r="G72" s="7"/>
      <c r="H72" s="7"/>
      <c r="I72" s="8"/>
    </row>
    <row r="73" spans="1:9" x14ac:dyDescent="0.4">
      <c r="A73" t="s">
        <v>116</v>
      </c>
      <c r="B73">
        <v>1</v>
      </c>
      <c r="C73">
        <v>4</v>
      </c>
      <c r="D73">
        <v>18</v>
      </c>
      <c r="E73" t="s">
        <v>134</v>
      </c>
      <c r="F73" t="str">
        <f t="shared" si="2"/>
        <v>인공지능(AI)14홍준</v>
      </c>
      <c r="G73" s="7"/>
      <c r="H73" s="7"/>
      <c r="I73" s="8"/>
    </row>
    <row r="74" spans="1:9" x14ac:dyDescent="0.4">
      <c r="A74" t="str">
        <f t="shared" ref="A74" si="3">IF(C74&lt;3,"SW개발","스마트IoT")</f>
        <v>SW개발</v>
      </c>
      <c r="B74">
        <v>2</v>
      </c>
      <c r="C74">
        <v>1</v>
      </c>
      <c r="D74">
        <v>1</v>
      </c>
      <c r="E74" t="s">
        <v>135</v>
      </c>
      <c r="F74" t="str">
        <f t="shared" si="2"/>
        <v>SW개발21계찬정</v>
      </c>
      <c r="G74" s="7"/>
      <c r="H74" s="7"/>
      <c r="I74" s="8"/>
    </row>
    <row r="75" spans="1:9" x14ac:dyDescent="0.4">
      <c r="A75" t="str">
        <f t="shared" ref="A75:A110" si="4">IF(C75&lt;3,"SW개발","임베디드SW")</f>
        <v>SW개발</v>
      </c>
      <c r="B75">
        <v>2</v>
      </c>
      <c r="C75">
        <v>1</v>
      </c>
      <c r="D75">
        <v>2</v>
      </c>
      <c r="E75" t="s">
        <v>68</v>
      </c>
      <c r="F75" t="str">
        <f t="shared" si="2"/>
        <v>SW개발21김주은</v>
      </c>
      <c r="G75" s="7"/>
      <c r="H75" s="7"/>
      <c r="I75" s="8"/>
    </row>
    <row r="76" spans="1:9" x14ac:dyDescent="0.4">
      <c r="A76" t="str">
        <f t="shared" si="4"/>
        <v>SW개발</v>
      </c>
      <c r="B76">
        <v>2</v>
      </c>
      <c r="C76">
        <v>1</v>
      </c>
      <c r="D76">
        <v>3</v>
      </c>
      <c r="E76" t="s">
        <v>136</v>
      </c>
      <c r="F76" t="str">
        <f t="shared" si="2"/>
        <v>SW개발21김준서</v>
      </c>
      <c r="G76" s="7"/>
      <c r="H76" s="7"/>
      <c r="I76" s="8"/>
    </row>
    <row r="77" spans="1:9" x14ac:dyDescent="0.4">
      <c r="A77" t="str">
        <f t="shared" si="4"/>
        <v>SW개발</v>
      </c>
      <c r="B77">
        <v>2</v>
      </c>
      <c r="C77">
        <v>1</v>
      </c>
      <c r="D77">
        <v>4</v>
      </c>
      <c r="E77" t="s">
        <v>137</v>
      </c>
      <c r="F77" t="str">
        <f t="shared" si="2"/>
        <v>SW개발21김철중</v>
      </c>
      <c r="G77" s="7"/>
      <c r="H77" s="7"/>
      <c r="I77" s="8"/>
    </row>
    <row r="78" spans="1:9" x14ac:dyDescent="0.4">
      <c r="A78" t="str">
        <f t="shared" si="4"/>
        <v>SW개발</v>
      </c>
      <c r="B78">
        <v>2</v>
      </c>
      <c r="C78">
        <v>1</v>
      </c>
      <c r="D78">
        <v>5</v>
      </c>
      <c r="E78" t="s">
        <v>138</v>
      </c>
      <c r="F78" t="str">
        <f t="shared" si="2"/>
        <v>SW개발21변도진</v>
      </c>
      <c r="G78" s="7"/>
      <c r="H78" s="7"/>
      <c r="I78" s="8"/>
    </row>
    <row r="79" spans="1:9" x14ac:dyDescent="0.4">
      <c r="A79" t="str">
        <f t="shared" si="4"/>
        <v>SW개발</v>
      </c>
      <c r="B79">
        <v>2</v>
      </c>
      <c r="C79">
        <v>1</v>
      </c>
      <c r="D79">
        <v>6</v>
      </c>
      <c r="E79" t="s">
        <v>139</v>
      </c>
      <c r="F79" t="str">
        <f t="shared" si="2"/>
        <v>SW개발21송정윤</v>
      </c>
      <c r="G79" s="7"/>
      <c r="H79" s="7"/>
      <c r="I79" s="8"/>
    </row>
    <row r="80" spans="1:9" x14ac:dyDescent="0.4">
      <c r="A80" t="str">
        <f t="shared" si="4"/>
        <v>SW개발</v>
      </c>
      <c r="B80">
        <v>2</v>
      </c>
      <c r="C80">
        <v>1</v>
      </c>
      <c r="D80">
        <v>7</v>
      </c>
      <c r="E80" t="s">
        <v>140</v>
      </c>
      <c r="F80" t="str">
        <f t="shared" si="2"/>
        <v>SW개발21송현우</v>
      </c>
      <c r="G80" s="7"/>
      <c r="H80" s="7"/>
      <c r="I80" s="8"/>
    </row>
    <row r="81" spans="1:9" x14ac:dyDescent="0.4">
      <c r="A81" t="str">
        <f t="shared" si="4"/>
        <v>SW개발</v>
      </c>
      <c r="B81">
        <v>2</v>
      </c>
      <c r="C81">
        <v>1</v>
      </c>
      <c r="D81">
        <v>8</v>
      </c>
      <c r="E81" t="s">
        <v>141</v>
      </c>
      <c r="F81" t="str">
        <f t="shared" si="2"/>
        <v>SW개발21안강호</v>
      </c>
      <c r="G81" s="7"/>
      <c r="H81" s="7"/>
      <c r="I81" s="8"/>
    </row>
    <row r="82" spans="1:9" x14ac:dyDescent="0.4">
      <c r="A82" t="str">
        <f t="shared" si="4"/>
        <v>SW개발</v>
      </c>
      <c r="B82">
        <v>2</v>
      </c>
      <c r="C82">
        <v>1</v>
      </c>
      <c r="D82">
        <v>9</v>
      </c>
      <c r="E82" t="s">
        <v>142</v>
      </c>
      <c r="F82" t="str">
        <f t="shared" si="2"/>
        <v>SW개발21양승권</v>
      </c>
    </row>
    <row r="83" spans="1:9" x14ac:dyDescent="0.4">
      <c r="A83" t="str">
        <f t="shared" si="4"/>
        <v>SW개발</v>
      </c>
      <c r="B83">
        <v>2</v>
      </c>
      <c r="C83">
        <v>1</v>
      </c>
      <c r="D83">
        <v>10</v>
      </c>
      <c r="E83" t="s">
        <v>143</v>
      </c>
      <c r="F83" t="str">
        <f t="shared" si="2"/>
        <v>SW개발21오영기</v>
      </c>
    </row>
    <row r="84" spans="1:9" x14ac:dyDescent="0.4">
      <c r="A84" t="str">
        <f t="shared" si="4"/>
        <v>SW개발</v>
      </c>
      <c r="B84">
        <v>2</v>
      </c>
      <c r="C84">
        <v>1</v>
      </c>
      <c r="D84">
        <v>11</v>
      </c>
      <c r="E84" t="s">
        <v>144</v>
      </c>
      <c r="F84" t="str">
        <f t="shared" si="2"/>
        <v>SW개발21오진서</v>
      </c>
    </row>
    <row r="85" spans="1:9" x14ac:dyDescent="0.4">
      <c r="A85" t="str">
        <f t="shared" si="4"/>
        <v>SW개발</v>
      </c>
      <c r="B85">
        <v>2</v>
      </c>
      <c r="C85">
        <v>1</v>
      </c>
      <c r="D85">
        <v>12</v>
      </c>
      <c r="E85" t="s">
        <v>145</v>
      </c>
      <c r="F85" t="str">
        <f t="shared" si="2"/>
        <v>SW개발21이태훈</v>
      </c>
    </row>
    <row r="86" spans="1:9" x14ac:dyDescent="0.4">
      <c r="A86" t="str">
        <f t="shared" si="4"/>
        <v>SW개발</v>
      </c>
      <c r="B86">
        <v>2</v>
      </c>
      <c r="C86">
        <v>1</v>
      </c>
      <c r="D86">
        <v>13</v>
      </c>
      <c r="E86" t="s">
        <v>129</v>
      </c>
      <c r="F86" t="str">
        <f t="shared" si="2"/>
        <v>SW개발21이현준</v>
      </c>
    </row>
    <row r="87" spans="1:9" x14ac:dyDescent="0.4">
      <c r="A87" t="str">
        <f t="shared" si="4"/>
        <v>SW개발</v>
      </c>
      <c r="B87">
        <v>2</v>
      </c>
      <c r="C87">
        <v>1</v>
      </c>
      <c r="D87">
        <v>14</v>
      </c>
      <c r="E87" t="s">
        <v>146</v>
      </c>
      <c r="F87" t="str">
        <f t="shared" si="2"/>
        <v>SW개발21임준성</v>
      </c>
    </row>
    <row r="88" spans="1:9" x14ac:dyDescent="0.4">
      <c r="A88" t="str">
        <f t="shared" si="4"/>
        <v>SW개발</v>
      </c>
      <c r="B88">
        <v>2</v>
      </c>
      <c r="C88">
        <v>1</v>
      </c>
      <c r="D88">
        <v>15</v>
      </c>
      <c r="E88" t="s">
        <v>147</v>
      </c>
      <c r="F88" t="str">
        <f t="shared" si="2"/>
        <v>SW개발21정민서</v>
      </c>
    </row>
    <row r="89" spans="1:9" x14ac:dyDescent="0.4">
      <c r="A89" t="str">
        <f t="shared" si="4"/>
        <v>SW개발</v>
      </c>
      <c r="B89">
        <v>2</v>
      </c>
      <c r="C89">
        <v>1</v>
      </c>
      <c r="D89">
        <v>16</v>
      </c>
      <c r="E89" t="s">
        <v>148</v>
      </c>
      <c r="F89" t="str">
        <f t="shared" si="2"/>
        <v>SW개발21정윤서</v>
      </c>
    </row>
    <row r="90" spans="1:9" x14ac:dyDescent="0.4">
      <c r="A90" t="str">
        <f t="shared" si="4"/>
        <v>SW개발</v>
      </c>
      <c r="B90">
        <v>2</v>
      </c>
      <c r="C90">
        <v>1</v>
      </c>
      <c r="D90">
        <v>17</v>
      </c>
      <c r="E90" t="s">
        <v>149</v>
      </c>
      <c r="F90" t="str">
        <f t="shared" si="2"/>
        <v>SW개발21한태현</v>
      </c>
    </row>
    <row r="91" spans="1:9" x14ac:dyDescent="0.4">
      <c r="A91" t="str">
        <f t="shared" si="4"/>
        <v>SW개발</v>
      </c>
      <c r="B91">
        <v>2</v>
      </c>
      <c r="C91">
        <v>1</v>
      </c>
      <c r="D91">
        <v>18</v>
      </c>
      <c r="E91" t="s">
        <v>150</v>
      </c>
      <c r="F91" t="str">
        <f t="shared" si="2"/>
        <v>SW개발21허여준</v>
      </c>
    </row>
    <row r="92" spans="1:9" x14ac:dyDescent="0.4">
      <c r="A92" t="str">
        <f t="shared" si="4"/>
        <v>SW개발</v>
      </c>
      <c r="B92">
        <v>2</v>
      </c>
      <c r="C92">
        <v>1</v>
      </c>
      <c r="D92">
        <v>19</v>
      </c>
      <c r="E92" t="s">
        <v>151</v>
      </c>
      <c r="F92" t="str">
        <f t="shared" si="2"/>
        <v>SW개발21허정</v>
      </c>
    </row>
    <row r="93" spans="1:9" x14ac:dyDescent="0.4">
      <c r="A93" t="str">
        <f t="shared" si="4"/>
        <v>SW개발</v>
      </c>
      <c r="B93">
        <v>2</v>
      </c>
      <c r="C93">
        <v>2</v>
      </c>
      <c r="D93">
        <v>1</v>
      </c>
      <c r="E93" t="s">
        <v>152</v>
      </c>
      <c r="F93" t="str">
        <f t="shared" si="2"/>
        <v>SW개발22김강현</v>
      </c>
    </row>
    <row r="94" spans="1:9" x14ac:dyDescent="0.4">
      <c r="A94" t="str">
        <f t="shared" si="4"/>
        <v>SW개발</v>
      </c>
      <c r="B94">
        <v>2</v>
      </c>
      <c r="C94">
        <v>2</v>
      </c>
      <c r="D94">
        <v>2</v>
      </c>
      <c r="E94" t="s">
        <v>153</v>
      </c>
      <c r="F94" t="str">
        <f t="shared" si="2"/>
        <v>SW개발22김도현</v>
      </c>
    </row>
    <row r="95" spans="1:9" x14ac:dyDescent="0.4">
      <c r="A95" t="str">
        <f t="shared" si="4"/>
        <v>SW개발</v>
      </c>
      <c r="B95">
        <v>2</v>
      </c>
      <c r="C95">
        <v>2</v>
      </c>
      <c r="D95">
        <v>3</v>
      </c>
      <c r="E95" t="s">
        <v>154</v>
      </c>
      <c r="F95" t="str">
        <f t="shared" si="2"/>
        <v>SW개발22김민재</v>
      </c>
    </row>
    <row r="96" spans="1:9" x14ac:dyDescent="0.4">
      <c r="A96" t="str">
        <f t="shared" si="4"/>
        <v>SW개발</v>
      </c>
      <c r="B96">
        <v>2</v>
      </c>
      <c r="C96">
        <v>2</v>
      </c>
      <c r="D96">
        <v>4</v>
      </c>
      <c r="E96" t="s">
        <v>155</v>
      </c>
      <c r="F96" t="str">
        <f t="shared" si="2"/>
        <v>SW개발22김원욱</v>
      </c>
    </row>
    <row r="97" spans="1:6" x14ac:dyDescent="0.4">
      <c r="A97" t="str">
        <f t="shared" si="4"/>
        <v>SW개발</v>
      </c>
      <c r="B97">
        <v>2</v>
      </c>
      <c r="C97">
        <v>2</v>
      </c>
      <c r="D97">
        <v>5</v>
      </c>
      <c r="E97" t="s">
        <v>156</v>
      </c>
      <c r="F97" t="str">
        <f t="shared" si="2"/>
        <v>SW개발22김종한</v>
      </c>
    </row>
    <row r="98" spans="1:6" x14ac:dyDescent="0.4">
      <c r="A98" t="str">
        <f t="shared" si="4"/>
        <v>SW개발</v>
      </c>
      <c r="B98">
        <v>2</v>
      </c>
      <c r="C98">
        <v>2</v>
      </c>
      <c r="D98">
        <v>6</v>
      </c>
      <c r="E98" t="s">
        <v>157</v>
      </c>
      <c r="F98" t="str">
        <f t="shared" si="2"/>
        <v>SW개발22나연균</v>
      </c>
    </row>
    <row r="99" spans="1:6" x14ac:dyDescent="0.4">
      <c r="A99" t="str">
        <f t="shared" si="4"/>
        <v>SW개발</v>
      </c>
      <c r="B99">
        <v>2</v>
      </c>
      <c r="C99">
        <v>2</v>
      </c>
      <c r="D99">
        <v>7</v>
      </c>
      <c r="E99" t="s">
        <v>158</v>
      </c>
      <c r="F99" t="str">
        <f t="shared" si="2"/>
        <v>SW개발22박준서</v>
      </c>
    </row>
    <row r="100" spans="1:6" x14ac:dyDescent="0.4">
      <c r="A100" t="str">
        <f t="shared" si="4"/>
        <v>SW개발</v>
      </c>
      <c r="B100">
        <v>2</v>
      </c>
      <c r="C100">
        <v>2</v>
      </c>
      <c r="D100">
        <v>8</v>
      </c>
      <c r="E100" t="s">
        <v>159</v>
      </c>
      <c r="F100" t="str">
        <f t="shared" si="2"/>
        <v>SW개발22배선후</v>
      </c>
    </row>
    <row r="101" spans="1:6" x14ac:dyDescent="0.4">
      <c r="A101" t="str">
        <f t="shared" si="4"/>
        <v>SW개발</v>
      </c>
      <c r="B101">
        <v>2</v>
      </c>
      <c r="C101">
        <v>2</v>
      </c>
      <c r="D101">
        <v>9</v>
      </c>
      <c r="E101" t="s">
        <v>160</v>
      </c>
      <c r="F101" t="str">
        <f t="shared" si="2"/>
        <v>SW개발22서주미</v>
      </c>
    </row>
    <row r="102" spans="1:6" x14ac:dyDescent="0.4">
      <c r="A102" t="str">
        <f t="shared" si="4"/>
        <v>SW개발</v>
      </c>
      <c r="B102">
        <v>2</v>
      </c>
      <c r="C102">
        <v>2</v>
      </c>
      <c r="D102">
        <v>10</v>
      </c>
      <c r="E102" t="s">
        <v>161</v>
      </c>
      <c r="F102" t="str">
        <f t="shared" si="2"/>
        <v>SW개발22송현서</v>
      </c>
    </row>
    <row r="103" spans="1:6" x14ac:dyDescent="0.4">
      <c r="A103" t="str">
        <f t="shared" si="4"/>
        <v>SW개발</v>
      </c>
      <c r="B103">
        <v>2</v>
      </c>
      <c r="C103">
        <v>2</v>
      </c>
      <c r="D103">
        <v>11</v>
      </c>
      <c r="E103" t="s">
        <v>162</v>
      </c>
      <c r="F103" t="str">
        <f t="shared" si="2"/>
        <v>SW개발22신아인</v>
      </c>
    </row>
    <row r="104" spans="1:6" x14ac:dyDescent="0.4">
      <c r="A104" t="str">
        <f t="shared" si="4"/>
        <v>SW개발</v>
      </c>
      <c r="B104">
        <v>2</v>
      </c>
      <c r="C104">
        <v>2</v>
      </c>
      <c r="D104">
        <v>12</v>
      </c>
      <c r="E104" t="s">
        <v>163</v>
      </c>
      <c r="F104" t="str">
        <f t="shared" si="2"/>
        <v>SW개발22윤수용</v>
      </c>
    </row>
    <row r="105" spans="1:6" x14ac:dyDescent="0.4">
      <c r="A105" t="str">
        <f t="shared" si="4"/>
        <v>SW개발</v>
      </c>
      <c r="B105">
        <v>2</v>
      </c>
      <c r="C105">
        <v>2</v>
      </c>
      <c r="D105">
        <v>13</v>
      </c>
      <c r="E105" t="s">
        <v>164</v>
      </c>
      <c r="F105" t="str">
        <f t="shared" si="2"/>
        <v>SW개발22이선진</v>
      </c>
    </row>
    <row r="106" spans="1:6" x14ac:dyDescent="0.4">
      <c r="A106" t="str">
        <f t="shared" si="4"/>
        <v>SW개발</v>
      </c>
      <c r="B106">
        <v>2</v>
      </c>
      <c r="C106">
        <v>2</v>
      </c>
      <c r="D106">
        <v>14</v>
      </c>
      <c r="E106" t="s">
        <v>165</v>
      </c>
      <c r="F106" t="str">
        <f t="shared" si="2"/>
        <v>SW개발22이학진</v>
      </c>
    </row>
    <row r="107" spans="1:6" x14ac:dyDescent="0.4">
      <c r="A107" t="str">
        <f t="shared" si="4"/>
        <v>SW개발</v>
      </c>
      <c r="B107">
        <v>2</v>
      </c>
      <c r="C107">
        <v>2</v>
      </c>
      <c r="D107">
        <v>15</v>
      </c>
      <c r="E107" t="s">
        <v>166</v>
      </c>
      <c r="F107" t="str">
        <f t="shared" si="2"/>
        <v>SW개발22전예빈</v>
      </c>
    </row>
    <row r="108" spans="1:6" x14ac:dyDescent="0.4">
      <c r="A108" t="str">
        <f t="shared" si="4"/>
        <v>SW개발</v>
      </c>
      <c r="B108">
        <v>2</v>
      </c>
      <c r="C108">
        <v>2</v>
      </c>
      <c r="D108">
        <v>16</v>
      </c>
      <c r="E108" t="s">
        <v>167</v>
      </c>
      <c r="F108" t="str">
        <f t="shared" si="2"/>
        <v>SW개발22최민욱</v>
      </c>
    </row>
    <row r="109" spans="1:6" x14ac:dyDescent="0.4">
      <c r="A109" t="str">
        <f t="shared" si="4"/>
        <v>SW개발</v>
      </c>
      <c r="B109">
        <v>2</v>
      </c>
      <c r="C109">
        <v>2</v>
      </c>
      <c r="D109">
        <v>17</v>
      </c>
      <c r="E109" t="s">
        <v>168</v>
      </c>
      <c r="F109" t="str">
        <f t="shared" ref="F109:F172" si="5">A109&amp;B109&amp;C109&amp;E109</f>
        <v>SW개발22최장우</v>
      </c>
    </row>
    <row r="110" spans="1:6" x14ac:dyDescent="0.4">
      <c r="A110" t="str">
        <f t="shared" si="4"/>
        <v>SW개발</v>
      </c>
      <c r="B110">
        <v>2</v>
      </c>
      <c r="C110">
        <v>2</v>
      </c>
      <c r="D110">
        <v>18</v>
      </c>
      <c r="E110" t="s">
        <v>169</v>
      </c>
      <c r="F110" t="str">
        <f t="shared" si="5"/>
        <v>SW개발22최현준</v>
      </c>
    </row>
    <row r="111" spans="1:6" x14ac:dyDescent="0.4">
      <c r="A111" t="str">
        <f t="shared" ref="A111:A145" si="6">IF(C111&lt;3,"SW개발","스마트IoT")</f>
        <v>스마트IoT</v>
      </c>
      <c r="B111">
        <v>2</v>
      </c>
      <c r="C111">
        <v>3</v>
      </c>
      <c r="D111">
        <v>1</v>
      </c>
      <c r="E111" t="s">
        <v>170</v>
      </c>
      <c r="F111" t="str">
        <f t="shared" si="5"/>
        <v>스마트IoT23강지운</v>
      </c>
    </row>
    <row r="112" spans="1:6" x14ac:dyDescent="0.4">
      <c r="A112" t="str">
        <f t="shared" si="6"/>
        <v>스마트IoT</v>
      </c>
      <c r="B112">
        <v>2</v>
      </c>
      <c r="C112">
        <v>3</v>
      </c>
      <c r="D112">
        <v>2</v>
      </c>
      <c r="E112" t="s">
        <v>171</v>
      </c>
      <c r="F112" t="str">
        <f t="shared" si="5"/>
        <v>스마트IoT23김대진</v>
      </c>
    </row>
    <row r="113" spans="1:6" x14ac:dyDescent="0.4">
      <c r="A113" t="str">
        <f t="shared" si="6"/>
        <v>스마트IoT</v>
      </c>
      <c r="B113">
        <v>2</v>
      </c>
      <c r="C113">
        <v>3</v>
      </c>
      <c r="D113">
        <v>3</v>
      </c>
      <c r="E113" t="s">
        <v>172</v>
      </c>
      <c r="F113" t="str">
        <f t="shared" si="5"/>
        <v>스마트IoT23김민준</v>
      </c>
    </row>
    <row r="114" spans="1:6" x14ac:dyDescent="0.4">
      <c r="A114" t="str">
        <f t="shared" si="6"/>
        <v>스마트IoT</v>
      </c>
      <c r="B114">
        <v>2</v>
      </c>
      <c r="C114">
        <v>3</v>
      </c>
      <c r="D114">
        <v>4</v>
      </c>
      <c r="E114" t="s">
        <v>173</v>
      </c>
      <c r="F114" t="str">
        <f t="shared" si="5"/>
        <v>스마트IoT23김설희</v>
      </c>
    </row>
    <row r="115" spans="1:6" x14ac:dyDescent="0.4">
      <c r="A115" t="str">
        <f t="shared" si="6"/>
        <v>스마트IoT</v>
      </c>
      <c r="B115">
        <v>2</v>
      </c>
      <c r="C115">
        <v>3</v>
      </c>
      <c r="D115">
        <v>5</v>
      </c>
      <c r="E115" t="s">
        <v>174</v>
      </c>
      <c r="F115" t="str">
        <f t="shared" si="5"/>
        <v>스마트IoT23김태오</v>
      </c>
    </row>
    <row r="116" spans="1:6" x14ac:dyDescent="0.4">
      <c r="A116" t="str">
        <f t="shared" si="6"/>
        <v>스마트IoT</v>
      </c>
      <c r="B116">
        <v>2</v>
      </c>
      <c r="C116">
        <v>3</v>
      </c>
      <c r="D116">
        <v>6</v>
      </c>
      <c r="E116" t="s">
        <v>175</v>
      </c>
      <c r="F116" t="str">
        <f t="shared" si="5"/>
        <v>스마트IoT23박주홍</v>
      </c>
    </row>
    <row r="117" spans="1:6" x14ac:dyDescent="0.4">
      <c r="A117" t="str">
        <f t="shared" si="6"/>
        <v>스마트IoT</v>
      </c>
      <c r="B117">
        <v>2</v>
      </c>
      <c r="C117">
        <v>3</v>
      </c>
      <c r="D117">
        <v>7</v>
      </c>
      <c r="E117" t="s">
        <v>176</v>
      </c>
      <c r="F117" t="str">
        <f t="shared" si="5"/>
        <v>스마트IoT23손혜린</v>
      </c>
    </row>
    <row r="118" spans="1:6" x14ac:dyDescent="0.4">
      <c r="A118" t="str">
        <f t="shared" si="6"/>
        <v>스마트IoT</v>
      </c>
      <c r="B118">
        <v>2</v>
      </c>
      <c r="C118">
        <v>3</v>
      </c>
      <c r="D118">
        <v>8</v>
      </c>
      <c r="E118" t="s">
        <v>177</v>
      </c>
      <c r="F118" t="str">
        <f t="shared" si="5"/>
        <v>스마트IoT23유채혁</v>
      </c>
    </row>
    <row r="119" spans="1:6" x14ac:dyDescent="0.4">
      <c r="A119" t="str">
        <f t="shared" si="6"/>
        <v>스마트IoT</v>
      </c>
      <c r="B119">
        <v>2</v>
      </c>
      <c r="C119">
        <v>3</v>
      </c>
      <c r="D119">
        <v>9</v>
      </c>
      <c r="E119" t="s">
        <v>178</v>
      </c>
      <c r="F119" t="str">
        <f t="shared" si="5"/>
        <v>스마트IoT23윤태빈</v>
      </c>
    </row>
    <row r="120" spans="1:6" x14ac:dyDescent="0.4">
      <c r="A120" t="str">
        <f t="shared" si="6"/>
        <v>스마트IoT</v>
      </c>
      <c r="B120">
        <v>2</v>
      </c>
      <c r="C120">
        <v>3</v>
      </c>
      <c r="D120">
        <v>10</v>
      </c>
      <c r="E120" t="s">
        <v>179</v>
      </c>
      <c r="F120" t="str">
        <f t="shared" si="5"/>
        <v>스마트IoT23이동욱</v>
      </c>
    </row>
    <row r="121" spans="1:6" x14ac:dyDescent="0.4">
      <c r="A121" t="str">
        <f t="shared" si="6"/>
        <v>스마트IoT</v>
      </c>
      <c r="B121">
        <v>2</v>
      </c>
      <c r="C121">
        <v>3</v>
      </c>
      <c r="D121">
        <v>11</v>
      </c>
      <c r="E121" t="s">
        <v>180</v>
      </c>
      <c r="F121" t="str">
        <f t="shared" si="5"/>
        <v>스마트IoT23이승제</v>
      </c>
    </row>
    <row r="122" spans="1:6" x14ac:dyDescent="0.4">
      <c r="A122" t="str">
        <f t="shared" si="6"/>
        <v>스마트IoT</v>
      </c>
      <c r="B122">
        <v>2</v>
      </c>
      <c r="C122">
        <v>3</v>
      </c>
      <c r="D122">
        <v>12</v>
      </c>
      <c r="E122" t="s">
        <v>181</v>
      </c>
      <c r="F122" t="str">
        <f t="shared" si="5"/>
        <v>스마트IoT23정민석</v>
      </c>
    </row>
    <row r="123" spans="1:6" x14ac:dyDescent="0.4">
      <c r="A123" t="str">
        <f t="shared" si="6"/>
        <v>스마트IoT</v>
      </c>
      <c r="B123">
        <v>2</v>
      </c>
      <c r="C123">
        <v>3</v>
      </c>
      <c r="D123">
        <v>13</v>
      </c>
      <c r="E123" t="s">
        <v>182</v>
      </c>
      <c r="F123" t="str">
        <f t="shared" si="5"/>
        <v>스마트IoT23정영운</v>
      </c>
    </row>
    <row r="124" spans="1:6" x14ac:dyDescent="0.4">
      <c r="A124" t="str">
        <f t="shared" si="6"/>
        <v>스마트IoT</v>
      </c>
      <c r="B124">
        <v>2</v>
      </c>
      <c r="C124">
        <v>3</v>
      </c>
      <c r="D124">
        <v>14</v>
      </c>
      <c r="E124" t="s">
        <v>183</v>
      </c>
      <c r="F124" t="str">
        <f t="shared" si="5"/>
        <v>스마트IoT23정찬우</v>
      </c>
    </row>
    <row r="125" spans="1:6" x14ac:dyDescent="0.4">
      <c r="A125" t="str">
        <f t="shared" si="6"/>
        <v>스마트IoT</v>
      </c>
      <c r="B125">
        <v>2</v>
      </c>
      <c r="C125">
        <v>3</v>
      </c>
      <c r="D125">
        <v>15</v>
      </c>
      <c r="E125" t="s">
        <v>184</v>
      </c>
      <c r="F125" t="str">
        <f t="shared" si="5"/>
        <v>스마트IoT23차시헌</v>
      </c>
    </row>
    <row r="126" spans="1:6" x14ac:dyDescent="0.4">
      <c r="A126" t="str">
        <f t="shared" si="6"/>
        <v>스마트IoT</v>
      </c>
      <c r="B126">
        <v>2</v>
      </c>
      <c r="C126">
        <v>3</v>
      </c>
      <c r="D126">
        <v>16</v>
      </c>
      <c r="E126" t="s">
        <v>185</v>
      </c>
      <c r="F126" t="str">
        <f t="shared" si="5"/>
        <v>스마트IoT23채종인</v>
      </c>
    </row>
    <row r="127" spans="1:6" x14ac:dyDescent="0.4">
      <c r="A127" t="str">
        <f t="shared" si="6"/>
        <v>스마트IoT</v>
      </c>
      <c r="B127">
        <v>2</v>
      </c>
      <c r="C127">
        <v>3</v>
      </c>
      <c r="D127">
        <v>17</v>
      </c>
      <c r="E127" t="s">
        <v>186</v>
      </c>
      <c r="F127" t="str">
        <f t="shared" si="5"/>
        <v>스마트IoT23한준</v>
      </c>
    </row>
    <row r="128" spans="1:6" x14ac:dyDescent="0.4">
      <c r="A128" t="str">
        <f t="shared" si="6"/>
        <v>스마트IoT</v>
      </c>
      <c r="B128">
        <v>2</v>
      </c>
      <c r="C128">
        <v>4</v>
      </c>
      <c r="D128">
        <v>1</v>
      </c>
      <c r="E128" t="s">
        <v>187</v>
      </c>
      <c r="F128" t="str">
        <f t="shared" si="5"/>
        <v>스마트IoT24강민수</v>
      </c>
    </row>
    <row r="129" spans="1:6" x14ac:dyDescent="0.4">
      <c r="A129" t="str">
        <f t="shared" si="6"/>
        <v>스마트IoT</v>
      </c>
      <c r="B129">
        <v>2</v>
      </c>
      <c r="C129">
        <v>4</v>
      </c>
      <c r="D129">
        <v>2</v>
      </c>
      <c r="E129" t="s">
        <v>188</v>
      </c>
      <c r="F129" t="str">
        <f t="shared" si="5"/>
        <v>스마트IoT24김경수</v>
      </c>
    </row>
    <row r="130" spans="1:6" x14ac:dyDescent="0.4">
      <c r="A130" t="str">
        <f t="shared" si="6"/>
        <v>스마트IoT</v>
      </c>
      <c r="B130">
        <v>2</v>
      </c>
      <c r="C130">
        <v>4</v>
      </c>
      <c r="D130">
        <v>3</v>
      </c>
      <c r="E130" t="s">
        <v>189</v>
      </c>
      <c r="F130" t="str">
        <f t="shared" si="5"/>
        <v>스마트IoT24김민수</v>
      </c>
    </row>
    <row r="131" spans="1:6" x14ac:dyDescent="0.4">
      <c r="A131" t="str">
        <f t="shared" si="6"/>
        <v>스마트IoT</v>
      </c>
      <c r="B131">
        <v>2</v>
      </c>
      <c r="C131">
        <v>4</v>
      </c>
      <c r="D131">
        <v>4</v>
      </c>
      <c r="E131" t="s">
        <v>190</v>
      </c>
      <c r="F131" t="str">
        <f t="shared" si="5"/>
        <v>스마트IoT24김새미</v>
      </c>
    </row>
    <row r="132" spans="1:6" x14ac:dyDescent="0.4">
      <c r="A132" t="str">
        <f t="shared" si="6"/>
        <v>스마트IoT</v>
      </c>
      <c r="B132">
        <v>2</v>
      </c>
      <c r="C132">
        <v>4</v>
      </c>
      <c r="D132">
        <v>5</v>
      </c>
      <c r="E132" t="s">
        <v>191</v>
      </c>
      <c r="F132" t="str">
        <f t="shared" si="5"/>
        <v>스마트IoT24김하온</v>
      </c>
    </row>
    <row r="133" spans="1:6" x14ac:dyDescent="0.4">
      <c r="A133" t="str">
        <f t="shared" si="6"/>
        <v>스마트IoT</v>
      </c>
      <c r="B133">
        <v>2</v>
      </c>
      <c r="C133">
        <v>4</v>
      </c>
      <c r="D133">
        <v>6</v>
      </c>
      <c r="E133" t="s">
        <v>192</v>
      </c>
      <c r="F133" t="str">
        <f t="shared" si="5"/>
        <v>스마트IoT24김희망</v>
      </c>
    </row>
    <row r="134" spans="1:6" x14ac:dyDescent="0.4">
      <c r="A134" t="str">
        <f t="shared" si="6"/>
        <v>스마트IoT</v>
      </c>
      <c r="B134">
        <v>2</v>
      </c>
      <c r="C134">
        <v>4</v>
      </c>
      <c r="D134">
        <v>7</v>
      </c>
      <c r="E134" t="s">
        <v>193</v>
      </c>
      <c r="F134" t="str">
        <f t="shared" si="5"/>
        <v>스마트IoT24노현주</v>
      </c>
    </row>
    <row r="135" spans="1:6" x14ac:dyDescent="0.4">
      <c r="A135" t="str">
        <f t="shared" si="6"/>
        <v>스마트IoT</v>
      </c>
      <c r="B135">
        <v>2</v>
      </c>
      <c r="C135">
        <v>4</v>
      </c>
      <c r="D135">
        <v>8</v>
      </c>
      <c r="E135" t="s">
        <v>194</v>
      </c>
      <c r="F135" t="str">
        <f t="shared" si="5"/>
        <v>스마트IoT24박건우</v>
      </c>
    </row>
    <row r="136" spans="1:6" x14ac:dyDescent="0.4">
      <c r="A136" t="str">
        <f t="shared" si="6"/>
        <v>스마트IoT</v>
      </c>
      <c r="B136">
        <v>2</v>
      </c>
      <c r="C136">
        <v>4</v>
      </c>
      <c r="D136">
        <v>9</v>
      </c>
      <c r="E136" t="s">
        <v>195</v>
      </c>
      <c r="F136" t="str">
        <f t="shared" si="5"/>
        <v>스마트IoT24박준호</v>
      </c>
    </row>
    <row r="137" spans="1:6" x14ac:dyDescent="0.4">
      <c r="A137" t="str">
        <f t="shared" si="6"/>
        <v>스마트IoT</v>
      </c>
      <c r="B137">
        <v>2</v>
      </c>
      <c r="C137">
        <v>4</v>
      </c>
      <c r="D137">
        <v>10</v>
      </c>
      <c r="E137" t="s">
        <v>196</v>
      </c>
      <c r="F137" t="str">
        <f t="shared" si="5"/>
        <v>스마트IoT24윤현기</v>
      </c>
    </row>
    <row r="138" spans="1:6" x14ac:dyDescent="0.4">
      <c r="A138" t="str">
        <f t="shared" si="6"/>
        <v>스마트IoT</v>
      </c>
      <c r="B138">
        <v>2</v>
      </c>
      <c r="C138">
        <v>4</v>
      </c>
      <c r="D138">
        <v>11</v>
      </c>
      <c r="E138" t="s">
        <v>197</v>
      </c>
      <c r="F138" t="str">
        <f t="shared" si="5"/>
        <v>스마트IoT24이기환</v>
      </c>
    </row>
    <row r="139" spans="1:6" x14ac:dyDescent="0.4">
      <c r="A139" t="str">
        <f t="shared" si="6"/>
        <v>스마트IoT</v>
      </c>
      <c r="B139">
        <v>2</v>
      </c>
      <c r="C139">
        <v>4</v>
      </c>
      <c r="D139">
        <v>12</v>
      </c>
      <c r="E139" t="s">
        <v>198</v>
      </c>
      <c r="F139" t="str">
        <f t="shared" si="5"/>
        <v>스마트IoT24이아론</v>
      </c>
    </row>
    <row r="140" spans="1:6" x14ac:dyDescent="0.4">
      <c r="A140" t="str">
        <f t="shared" si="6"/>
        <v>스마트IoT</v>
      </c>
      <c r="B140">
        <v>2</v>
      </c>
      <c r="C140">
        <v>4</v>
      </c>
      <c r="D140">
        <v>13</v>
      </c>
      <c r="E140" t="s">
        <v>199</v>
      </c>
      <c r="F140" t="str">
        <f t="shared" si="5"/>
        <v>스마트IoT24이운린</v>
      </c>
    </row>
    <row r="141" spans="1:6" x14ac:dyDescent="0.4">
      <c r="A141" t="str">
        <f t="shared" si="6"/>
        <v>스마트IoT</v>
      </c>
      <c r="B141">
        <v>2</v>
      </c>
      <c r="C141">
        <v>4</v>
      </c>
      <c r="D141">
        <v>14</v>
      </c>
      <c r="E141" t="s">
        <v>200</v>
      </c>
      <c r="F141" t="str">
        <f t="shared" si="5"/>
        <v>스마트IoT24이정우</v>
      </c>
    </row>
    <row r="142" spans="1:6" x14ac:dyDescent="0.4">
      <c r="A142" t="str">
        <f t="shared" si="6"/>
        <v>스마트IoT</v>
      </c>
      <c r="B142">
        <v>2</v>
      </c>
      <c r="C142">
        <v>4</v>
      </c>
      <c r="D142">
        <v>15</v>
      </c>
      <c r="E142" t="s">
        <v>201</v>
      </c>
      <c r="F142" t="str">
        <f t="shared" si="5"/>
        <v>스마트IoT24이태랑</v>
      </c>
    </row>
    <row r="143" spans="1:6" x14ac:dyDescent="0.4">
      <c r="A143" t="str">
        <f t="shared" si="6"/>
        <v>스마트IoT</v>
      </c>
      <c r="B143">
        <v>2</v>
      </c>
      <c r="C143">
        <v>4</v>
      </c>
      <c r="D143">
        <v>16</v>
      </c>
      <c r="E143" t="s">
        <v>202</v>
      </c>
      <c r="F143" t="str">
        <f t="shared" si="5"/>
        <v>스마트IoT24임창범</v>
      </c>
    </row>
    <row r="144" spans="1:6" x14ac:dyDescent="0.4">
      <c r="A144" t="str">
        <f t="shared" si="6"/>
        <v>스마트IoT</v>
      </c>
      <c r="B144">
        <v>2</v>
      </c>
      <c r="C144">
        <v>4</v>
      </c>
      <c r="D144">
        <v>17</v>
      </c>
      <c r="E144" t="s">
        <v>203</v>
      </c>
      <c r="F144" t="str">
        <f t="shared" si="5"/>
        <v>스마트IoT24정찬교</v>
      </c>
    </row>
    <row r="145" spans="1:7" x14ac:dyDescent="0.4">
      <c r="A145" t="str">
        <f t="shared" si="6"/>
        <v>스마트IoT</v>
      </c>
      <c r="B145">
        <v>2</v>
      </c>
      <c r="C145">
        <v>4</v>
      </c>
      <c r="D145">
        <v>18</v>
      </c>
      <c r="E145" t="s">
        <v>204</v>
      </c>
      <c r="F145" t="str">
        <f t="shared" si="5"/>
        <v>스마트IoT24하제우</v>
      </c>
    </row>
    <row r="146" spans="1:7" x14ac:dyDescent="0.4">
      <c r="A146" t="str">
        <f t="shared" ref="A146:A209" si="7">IF(C146&lt;3,"SW개발","임베디드SW")</f>
        <v>SW개발</v>
      </c>
      <c r="B146">
        <v>3</v>
      </c>
      <c r="C146">
        <v>1</v>
      </c>
      <c r="D146">
        <v>1</v>
      </c>
      <c r="E146" t="s">
        <v>205</v>
      </c>
      <c r="F146" t="str">
        <f t="shared" si="5"/>
        <v>SW개발31강경민</v>
      </c>
    </row>
    <row r="147" spans="1:7" x14ac:dyDescent="0.4">
      <c r="A147" t="str">
        <f t="shared" si="7"/>
        <v>SW개발</v>
      </c>
      <c r="B147">
        <v>3</v>
      </c>
      <c r="C147">
        <v>1</v>
      </c>
      <c r="D147">
        <v>2</v>
      </c>
      <c r="E147" t="s">
        <v>206</v>
      </c>
      <c r="F147" t="str">
        <f t="shared" si="5"/>
        <v>SW개발31곽희상</v>
      </c>
    </row>
    <row r="148" spans="1:7" x14ac:dyDescent="0.4">
      <c r="A148" t="str">
        <f t="shared" si="7"/>
        <v>SW개발</v>
      </c>
      <c r="B148">
        <v>3</v>
      </c>
      <c r="C148">
        <v>1</v>
      </c>
      <c r="D148">
        <v>3</v>
      </c>
      <c r="E148" t="s">
        <v>153</v>
      </c>
      <c r="F148" t="str">
        <f t="shared" si="5"/>
        <v>SW개발31김도현</v>
      </c>
    </row>
    <row r="149" spans="1:7" x14ac:dyDescent="0.4">
      <c r="A149" t="str">
        <f t="shared" si="7"/>
        <v>SW개발</v>
      </c>
      <c r="B149">
        <v>3</v>
      </c>
      <c r="C149">
        <v>1</v>
      </c>
      <c r="D149">
        <v>4</v>
      </c>
      <c r="E149" t="s">
        <v>207</v>
      </c>
      <c r="F149" t="str">
        <f t="shared" si="5"/>
        <v>SW개발31김동현</v>
      </c>
      <c r="G149" t="s">
        <v>275</v>
      </c>
    </row>
    <row r="150" spans="1:7" x14ac:dyDescent="0.4">
      <c r="A150" t="str">
        <f t="shared" si="7"/>
        <v>SW개발</v>
      </c>
      <c r="B150">
        <v>3</v>
      </c>
      <c r="C150">
        <v>1</v>
      </c>
      <c r="D150">
        <v>5</v>
      </c>
      <c r="E150" t="s">
        <v>172</v>
      </c>
      <c r="F150" t="str">
        <f t="shared" si="5"/>
        <v>SW개발31김민준</v>
      </c>
    </row>
    <row r="151" spans="1:7" x14ac:dyDescent="0.4">
      <c r="A151" t="str">
        <f t="shared" si="7"/>
        <v>SW개발</v>
      </c>
      <c r="B151">
        <v>3</v>
      </c>
      <c r="C151">
        <v>1</v>
      </c>
      <c r="D151">
        <v>6</v>
      </c>
      <c r="E151" t="s">
        <v>208</v>
      </c>
      <c r="F151" t="str">
        <f t="shared" si="5"/>
        <v>SW개발31김시훈</v>
      </c>
    </row>
    <row r="152" spans="1:7" x14ac:dyDescent="0.4">
      <c r="A152" t="str">
        <f t="shared" si="7"/>
        <v>SW개발</v>
      </c>
      <c r="B152">
        <v>3</v>
      </c>
      <c r="C152">
        <v>1</v>
      </c>
      <c r="D152">
        <v>7</v>
      </c>
      <c r="E152" t="s">
        <v>209</v>
      </c>
      <c r="F152" t="str">
        <f t="shared" si="5"/>
        <v>SW개발31김준</v>
      </c>
    </row>
    <row r="153" spans="1:7" x14ac:dyDescent="0.4">
      <c r="A153" t="str">
        <f t="shared" si="7"/>
        <v>SW개발</v>
      </c>
      <c r="B153">
        <v>3</v>
      </c>
      <c r="C153">
        <v>1</v>
      </c>
      <c r="D153">
        <v>8</v>
      </c>
      <c r="E153" t="s">
        <v>210</v>
      </c>
      <c r="F153" t="str">
        <f t="shared" si="5"/>
        <v>SW개발31노가성</v>
      </c>
    </row>
    <row r="154" spans="1:7" x14ac:dyDescent="0.4">
      <c r="A154" t="str">
        <f t="shared" si="7"/>
        <v>SW개발</v>
      </c>
      <c r="B154">
        <v>3</v>
      </c>
      <c r="C154">
        <v>1</v>
      </c>
      <c r="D154">
        <v>9</v>
      </c>
      <c r="E154" t="s">
        <v>211</v>
      </c>
      <c r="F154" t="str">
        <f t="shared" si="5"/>
        <v>SW개발31박지예</v>
      </c>
    </row>
    <row r="155" spans="1:7" x14ac:dyDescent="0.4">
      <c r="A155" t="str">
        <f t="shared" si="7"/>
        <v>SW개발</v>
      </c>
      <c r="B155">
        <v>3</v>
      </c>
      <c r="C155">
        <v>1</v>
      </c>
      <c r="D155">
        <v>10</v>
      </c>
      <c r="E155" t="s">
        <v>212</v>
      </c>
      <c r="F155" t="str">
        <f t="shared" si="5"/>
        <v>SW개발31변찬우</v>
      </c>
    </row>
    <row r="156" spans="1:7" x14ac:dyDescent="0.4">
      <c r="A156" t="str">
        <f t="shared" si="7"/>
        <v>SW개발</v>
      </c>
      <c r="B156">
        <v>3</v>
      </c>
      <c r="C156">
        <v>1</v>
      </c>
      <c r="D156">
        <v>11</v>
      </c>
      <c r="E156" t="s">
        <v>213</v>
      </c>
      <c r="F156" t="str">
        <f t="shared" si="5"/>
        <v>SW개발31선민재</v>
      </c>
    </row>
    <row r="157" spans="1:7" x14ac:dyDescent="0.4">
      <c r="A157" t="str">
        <f t="shared" si="7"/>
        <v>SW개발</v>
      </c>
      <c r="B157">
        <v>3</v>
      </c>
      <c r="C157">
        <v>1</v>
      </c>
      <c r="D157">
        <v>12</v>
      </c>
      <c r="E157" t="s">
        <v>214</v>
      </c>
      <c r="F157" t="str">
        <f t="shared" si="5"/>
        <v>SW개발31손정민</v>
      </c>
    </row>
    <row r="158" spans="1:7" x14ac:dyDescent="0.4">
      <c r="A158" t="str">
        <f t="shared" si="7"/>
        <v>SW개발</v>
      </c>
      <c r="B158">
        <v>3</v>
      </c>
      <c r="C158">
        <v>1</v>
      </c>
      <c r="D158">
        <v>13</v>
      </c>
      <c r="E158" t="s">
        <v>215</v>
      </c>
      <c r="F158" t="str">
        <f t="shared" si="5"/>
        <v>SW개발31양시준</v>
      </c>
    </row>
    <row r="159" spans="1:7" x14ac:dyDescent="0.4">
      <c r="A159" t="str">
        <f t="shared" si="7"/>
        <v>SW개발</v>
      </c>
      <c r="B159">
        <v>3</v>
      </c>
      <c r="C159">
        <v>1</v>
      </c>
      <c r="D159">
        <v>14</v>
      </c>
      <c r="E159" t="s">
        <v>216</v>
      </c>
      <c r="F159" t="str">
        <f t="shared" si="5"/>
        <v>SW개발31유시온</v>
      </c>
    </row>
    <row r="160" spans="1:7" x14ac:dyDescent="0.4">
      <c r="A160" t="str">
        <f t="shared" si="7"/>
        <v>SW개발</v>
      </c>
      <c r="B160">
        <v>3</v>
      </c>
      <c r="C160">
        <v>1</v>
      </c>
      <c r="D160">
        <v>15</v>
      </c>
      <c r="E160" t="s">
        <v>217</v>
      </c>
      <c r="F160" t="str">
        <f t="shared" si="5"/>
        <v>SW개발31이준</v>
      </c>
    </row>
    <row r="161" spans="1:6" x14ac:dyDescent="0.4">
      <c r="A161" t="str">
        <f t="shared" si="7"/>
        <v>SW개발</v>
      </c>
      <c r="B161">
        <v>3</v>
      </c>
      <c r="C161">
        <v>1</v>
      </c>
      <c r="D161">
        <v>16</v>
      </c>
      <c r="E161" t="s">
        <v>218</v>
      </c>
      <c r="F161" t="str">
        <f t="shared" si="5"/>
        <v>SW개발31정은성</v>
      </c>
    </row>
    <row r="162" spans="1:6" x14ac:dyDescent="0.4">
      <c r="A162" t="str">
        <f t="shared" si="7"/>
        <v>SW개발</v>
      </c>
      <c r="B162">
        <v>3</v>
      </c>
      <c r="C162">
        <v>1</v>
      </c>
      <c r="D162">
        <v>17</v>
      </c>
      <c r="E162" t="s">
        <v>219</v>
      </c>
      <c r="F162" t="str">
        <f t="shared" si="5"/>
        <v>SW개발31조현서</v>
      </c>
    </row>
    <row r="163" spans="1:6" x14ac:dyDescent="0.4">
      <c r="A163" t="str">
        <f t="shared" si="7"/>
        <v>SW개발</v>
      </c>
      <c r="B163">
        <v>3</v>
      </c>
      <c r="C163">
        <v>1</v>
      </c>
      <c r="D163">
        <v>18</v>
      </c>
      <c r="E163" t="s">
        <v>220</v>
      </c>
      <c r="F163" t="str">
        <f t="shared" si="5"/>
        <v>SW개발31홍세현</v>
      </c>
    </row>
    <row r="164" spans="1:6" x14ac:dyDescent="0.4">
      <c r="A164" t="str">
        <f t="shared" si="7"/>
        <v>SW개발</v>
      </c>
      <c r="B164">
        <v>3</v>
      </c>
      <c r="C164">
        <v>2</v>
      </c>
      <c r="D164">
        <v>1</v>
      </c>
      <c r="E164" t="s">
        <v>221</v>
      </c>
      <c r="F164" t="str">
        <f t="shared" si="5"/>
        <v>SW개발32강민제</v>
      </c>
    </row>
    <row r="165" spans="1:6" x14ac:dyDescent="0.4">
      <c r="A165" t="str">
        <f t="shared" si="7"/>
        <v>SW개발</v>
      </c>
      <c r="B165">
        <v>3</v>
      </c>
      <c r="C165">
        <v>2</v>
      </c>
      <c r="D165">
        <v>2</v>
      </c>
      <c r="E165" t="s">
        <v>222</v>
      </c>
      <c r="F165" t="str">
        <f t="shared" si="5"/>
        <v>SW개발32강영현</v>
      </c>
    </row>
    <row r="166" spans="1:6" x14ac:dyDescent="0.4">
      <c r="A166" t="str">
        <f t="shared" si="7"/>
        <v>SW개발</v>
      </c>
      <c r="B166">
        <v>3</v>
      </c>
      <c r="C166">
        <v>2</v>
      </c>
      <c r="D166">
        <v>3</v>
      </c>
      <c r="E166" t="s">
        <v>45</v>
      </c>
      <c r="F166" t="str">
        <f t="shared" si="5"/>
        <v>SW개발32김민채</v>
      </c>
    </row>
    <row r="167" spans="1:6" x14ac:dyDescent="0.4">
      <c r="A167" t="str">
        <f t="shared" si="7"/>
        <v>SW개발</v>
      </c>
      <c r="B167">
        <v>3</v>
      </c>
      <c r="C167">
        <v>2</v>
      </c>
      <c r="D167">
        <v>4</v>
      </c>
      <c r="E167" t="s">
        <v>223</v>
      </c>
      <c r="F167" t="str">
        <f t="shared" si="5"/>
        <v>SW개발32김성훈</v>
      </c>
    </row>
    <row r="168" spans="1:6" x14ac:dyDescent="0.4">
      <c r="A168" t="str">
        <f t="shared" si="7"/>
        <v>SW개발</v>
      </c>
      <c r="B168">
        <v>3</v>
      </c>
      <c r="C168">
        <v>2</v>
      </c>
      <c r="D168">
        <v>5</v>
      </c>
      <c r="E168" t="s">
        <v>224</v>
      </c>
      <c r="F168" t="str">
        <f t="shared" si="5"/>
        <v>SW개발32김현승</v>
      </c>
    </row>
    <row r="169" spans="1:6" x14ac:dyDescent="0.4">
      <c r="A169" t="str">
        <f t="shared" si="7"/>
        <v>SW개발</v>
      </c>
      <c r="B169">
        <v>3</v>
      </c>
      <c r="C169">
        <v>2</v>
      </c>
      <c r="D169">
        <v>6</v>
      </c>
      <c r="E169" t="s">
        <v>225</v>
      </c>
      <c r="F169" t="str">
        <f t="shared" si="5"/>
        <v>SW개발32김형록</v>
      </c>
    </row>
    <row r="170" spans="1:6" x14ac:dyDescent="0.4">
      <c r="A170" t="str">
        <f t="shared" si="7"/>
        <v>SW개발</v>
      </c>
      <c r="B170">
        <v>3</v>
      </c>
      <c r="C170">
        <v>2</v>
      </c>
      <c r="D170">
        <v>7</v>
      </c>
      <c r="E170" t="s">
        <v>226</v>
      </c>
      <c r="F170" t="str">
        <f t="shared" si="5"/>
        <v>SW개발32민도현</v>
      </c>
    </row>
    <row r="171" spans="1:6" x14ac:dyDescent="0.4">
      <c r="A171" t="str">
        <f t="shared" si="7"/>
        <v>SW개발</v>
      </c>
      <c r="B171">
        <v>3</v>
      </c>
      <c r="C171">
        <v>2</v>
      </c>
      <c r="D171">
        <v>8</v>
      </c>
      <c r="E171" t="s">
        <v>227</v>
      </c>
      <c r="F171" t="str">
        <f t="shared" si="5"/>
        <v>SW개발32박성현</v>
      </c>
    </row>
    <row r="172" spans="1:6" x14ac:dyDescent="0.4">
      <c r="A172" t="str">
        <f t="shared" si="7"/>
        <v>SW개발</v>
      </c>
      <c r="B172">
        <v>3</v>
      </c>
      <c r="C172">
        <v>2</v>
      </c>
      <c r="D172">
        <v>9</v>
      </c>
      <c r="E172" t="s">
        <v>228</v>
      </c>
      <c r="F172" t="str">
        <f t="shared" si="5"/>
        <v>SW개발32박영재</v>
      </c>
    </row>
    <row r="173" spans="1:6" x14ac:dyDescent="0.4">
      <c r="A173" t="str">
        <f t="shared" si="7"/>
        <v>SW개발</v>
      </c>
      <c r="B173">
        <v>3</v>
      </c>
      <c r="C173">
        <v>2</v>
      </c>
      <c r="D173">
        <v>10</v>
      </c>
      <c r="E173" t="s">
        <v>229</v>
      </c>
      <c r="F173" t="str">
        <f t="shared" ref="F173:F216" si="8">A173&amp;B173&amp;C173&amp;E173</f>
        <v>SW개발32백승민</v>
      </c>
    </row>
    <row r="174" spans="1:6" x14ac:dyDescent="0.4">
      <c r="A174" t="str">
        <f t="shared" si="7"/>
        <v>SW개발</v>
      </c>
      <c r="B174">
        <v>3</v>
      </c>
      <c r="C174">
        <v>2</v>
      </c>
      <c r="D174">
        <v>11</v>
      </c>
      <c r="E174" t="s">
        <v>230</v>
      </c>
      <c r="F174" t="str">
        <f t="shared" si="8"/>
        <v>SW개발32백혜인</v>
      </c>
    </row>
    <row r="175" spans="1:6" x14ac:dyDescent="0.4">
      <c r="A175" t="str">
        <f t="shared" si="7"/>
        <v>SW개발</v>
      </c>
      <c r="B175">
        <v>3</v>
      </c>
      <c r="C175">
        <v>2</v>
      </c>
      <c r="D175">
        <v>12</v>
      </c>
      <c r="E175" t="s">
        <v>231</v>
      </c>
      <c r="F175" t="str">
        <f t="shared" si="8"/>
        <v>SW개발32선채훈</v>
      </c>
    </row>
    <row r="176" spans="1:6" x14ac:dyDescent="0.4">
      <c r="A176" t="str">
        <f t="shared" si="7"/>
        <v>SW개발</v>
      </c>
      <c r="B176">
        <v>3</v>
      </c>
      <c r="C176">
        <v>2</v>
      </c>
      <c r="D176">
        <v>13</v>
      </c>
      <c r="E176" t="s">
        <v>232</v>
      </c>
      <c r="F176" t="str">
        <f t="shared" si="8"/>
        <v>SW개발32오유찬</v>
      </c>
    </row>
    <row r="177" spans="1:6" x14ac:dyDescent="0.4">
      <c r="A177" t="str">
        <f t="shared" si="7"/>
        <v>SW개발</v>
      </c>
      <c r="B177">
        <v>3</v>
      </c>
      <c r="C177">
        <v>2</v>
      </c>
      <c r="D177">
        <v>14</v>
      </c>
      <c r="E177" t="s">
        <v>233</v>
      </c>
      <c r="F177" t="str">
        <f t="shared" si="8"/>
        <v>SW개발32이주원</v>
      </c>
    </row>
    <row r="178" spans="1:6" x14ac:dyDescent="0.4">
      <c r="A178" t="str">
        <f t="shared" si="7"/>
        <v>SW개발</v>
      </c>
      <c r="B178">
        <v>3</v>
      </c>
      <c r="C178">
        <v>2</v>
      </c>
      <c r="D178">
        <v>15</v>
      </c>
      <c r="E178" t="s">
        <v>234</v>
      </c>
      <c r="F178" t="str">
        <f t="shared" si="8"/>
        <v>SW개발32이현빈</v>
      </c>
    </row>
    <row r="179" spans="1:6" x14ac:dyDescent="0.4">
      <c r="A179" t="str">
        <f t="shared" si="7"/>
        <v>SW개발</v>
      </c>
      <c r="B179">
        <v>3</v>
      </c>
      <c r="C179">
        <v>2</v>
      </c>
      <c r="D179">
        <v>16</v>
      </c>
      <c r="E179" t="s">
        <v>235</v>
      </c>
      <c r="F179" t="str">
        <f t="shared" si="8"/>
        <v>SW개발32전승원</v>
      </c>
    </row>
    <row r="180" spans="1:6" x14ac:dyDescent="0.4">
      <c r="A180" t="str">
        <f t="shared" si="7"/>
        <v>SW개발</v>
      </c>
      <c r="B180">
        <v>3</v>
      </c>
      <c r="C180">
        <v>2</v>
      </c>
      <c r="D180">
        <v>17</v>
      </c>
      <c r="E180" t="s">
        <v>236</v>
      </c>
      <c r="F180" t="str">
        <f t="shared" si="8"/>
        <v>SW개발32조재영</v>
      </c>
    </row>
    <row r="181" spans="1:6" x14ac:dyDescent="0.4">
      <c r="A181" t="str">
        <f t="shared" si="7"/>
        <v>SW개발</v>
      </c>
      <c r="B181">
        <v>3</v>
      </c>
      <c r="C181">
        <v>2</v>
      </c>
      <c r="D181">
        <v>18</v>
      </c>
      <c r="E181" t="s">
        <v>237</v>
      </c>
      <c r="F181" t="str">
        <f t="shared" si="8"/>
        <v>SW개발32최형우</v>
      </c>
    </row>
    <row r="182" spans="1:6" x14ac:dyDescent="0.4">
      <c r="A182" t="str">
        <f t="shared" si="7"/>
        <v>임베디드SW</v>
      </c>
      <c r="B182">
        <v>3</v>
      </c>
      <c r="C182">
        <v>3</v>
      </c>
      <c r="D182">
        <v>1</v>
      </c>
      <c r="E182" t="s">
        <v>44</v>
      </c>
      <c r="F182" t="str">
        <f t="shared" si="8"/>
        <v>임베디드SW33김경훈</v>
      </c>
    </row>
    <row r="183" spans="1:6" x14ac:dyDescent="0.4">
      <c r="A183" t="str">
        <f t="shared" si="7"/>
        <v>임베디드SW</v>
      </c>
      <c r="B183">
        <v>3</v>
      </c>
      <c r="C183">
        <v>3</v>
      </c>
      <c r="D183">
        <v>2</v>
      </c>
      <c r="E183" t="s">
        <v>238</v>
      </c>
      <c r="F183" t="str">
        <f t="shared" si="8"/>
        <v>임베디드SW33노혁</v>
      </c>
    </row>
    <row r="184" spans="1:6" x14ac:dyDescent="0.4">
      <c r="A184" t="str">
        <f t="shared" si="7"/>
        <v>임베디드SW</v>
      </c>
      <c r="B184">
        <v>3</v>
      </c>
      <c r="C184">
        <v>3</v>
      </c>
      <c r="D184">
        <v>3</v>
      </c>
      <c r="E184" t="s">
        <v>239</v>
      </c>
      <c r="F184" t="str">
        <f t="shared" si="8"/>
        <v>임베디드SW33노현진</v>
      </c>
    </row>
    <row r="185" spans="1:6" x14ac:dyDescent="0.4">
      <c r="A185" t="str">
        <f t="shared" si="7"/>
        <v>임베디드SW</v>
      </c>
      <c r="B185">
        <v>3</v>
      </c>
      <c r="C185">
        <v>3</v>
      </c>
      <c r="D185">
        <v>4</v>
      </c>
      <c r="E185" t="s">
        <v>240</v>
      </c>
      <c r="F185" t="str">
        <f t="shared" si="8"/>
        <v>임베디드SW33문송</v>
      </c>
    </row>
    <row r="186" spans="1:6" x14ac:dyDescent="0.4">
      <c r="A186" t="str">
        <f t="shared" si="7"/>
        <v>임베디드SW</v>
      </c>
      <c r="B186">
        <v>3</v>
      </c>
      <c r="C186">
        <v>3</v>
      </c>
      <c r="D186">
        <v>5</v>
      </c>
      <c r="E186" t="s">
        <v>241</v>
      </c>
      <c r="F186" t="str">
        <f t="shared" si="8"/>
        <v>임베디드SW33박서준</v>
      </c>
    </row>
    <row r="187" spans="1:6" x14ac:dyDescent="0.4">
      <c r="A187" t="str">
        <f t="shared" si="7"/>
        <v>임베디드SW</v>
      </c>
      <c r="B187">
        <v>3</v>
      </c>
      <c r="C187">
        <v>3</v>
      </c>
      <c r="D187">
        <v>6</v>
      </c>
      <c r="E187" t="s">
        <v>242</v>
      </c>
      <c r="F187" t="str">
        <f t="shared" si="8"/>
        <v>임베디드SW33박재만</v>
      </c>
    </row>
    <row r="188" spans="1:6" x14ac:dyDescent="0.4">
      <c r="A188" t="str">
        <f t="shared" si="7"/>
        <v>임베디드SW</v>
      </c>
      <c r="B188">
        <v>3</v>
      </c>
      <c r="C188">
        <v>3</v>
      </c>
      <c r="D188">
        <v>7</v>
      </c>
      <c r="E188" t="s">
        <v>243</v>
      </c>
      <c r="F188" t="str">
        <f t="shared" si="8"/>
        <v>임베디드SW33송정민</v>
      </c>
    </row>
    <row r="189" spans="1:6" x14ac:dyDescent="0.4">
      <c r="A189" t="str">
        <f t="shared" si="7"/>
        <v>임베디드SW</v>
      </c>
      <c r="B189">
        <v>3</v>
      </c>
      <c r="C189">
        <v>3</v>
      </c>
      <c r="D189">
        <v>8</v>
      </c>
      <c r="E189" t="s">
        <v>244</v>
      </c>
      <c r="F189" t="str">
        <f t="shared" si="8"/>
        <v>임베디드SW33유환빈</v>
      </c>
    </row>
    <row r="190" spans="1:6" x14ac:dyDescent="0.4">
      <c r="A190" t="str">
        <f t="shared" si="7"/>
        <v>임베디드SW</v>
      </c>
      <c r="B190">
        <v>3</v>
      </c>
      <c r="C190">
        <v>3</v>
      </c>
      <c r="D190">
        <v>9</v>
      </c>
      <c r="E190" t="s">
        <v>245</v>
      </c>
      <c r="F190" t="str">
        <f t="shared" si="8"/>
        <v>임베디드SW33윤지빈</v>
      </c>
    </row>
    <row r="191" spans="1:6" x14ac:dyDescent="0.4">
      <c r="A191" t="str">
        <f t="shared" si="7"/>
        <v>임베디드SW</v>
      </c>
      <c r="B191">
        <v>3</v>
      </c>
      <c r="C191">
        <v>3</v>
      </c>
      <c r="D191">
        <v>10</v>
      </c>
      <c r="E191" t="s">
        <v>246</v>
      </c>
      <c r="F191" t="str">
        <f t="shared" si="8"/>
        <v>임베디드SW33이동현</v>
      </c>
    </row>
    <row r="192" spans="1:6" x14ac:dyDescent="0.4">
      <c r="A192" t="str">
        <f t="shared" si="7"/>
        <v>임베디드SW</v>
      </c>
      <c r="B192">
        <v>3</v>
      </c>
      <c r="C192">
        <v>3</v>
      </c>
      <c r="D192">
        <v>11</v>
      </c>
      <c r="E192" t="s">
        <v>247</v>
      </c>
      <c r="F192" t="str">
        <f t="shared" si="8"/>
        <v>임베디드SW33이은우</v>
      </c>
    </row>
    <row r="193" spans="1:6" x14ac:dyDescent="0.4">
      <c r="A193" t="str">
        <f t="shared" si="7"/>
        <v>임베디드SW</v>
      </c>
      <c r="B193">
        <v>3</v>
      </c>
      <c r="C193">
        <v>3</v>
      </c>
      <c r="D193">
        <v>12</v>
      </c>
      <c r="E193" t="s">
        <v>248</v>
      </c>
      <c r="F193" t="str">
        <f t="shared" si="8"/>
        <v>임베디드SW33정명직</v>
      </c>
    </row>
    <row r="194" spans="1:6" x14ac:dyDescent="0.4">
      <c r="A194" t="str">
        <f t="shared" si="7"/>
        <v>임베디드SW</v>
      </c>
      <c r="B194">
        <v>3</v>
      </c>
      <c r="C194">
        <v>3</v>
      </c>
      <c r="D194">
        <v>13</v>
      </c>
      <c r="E194" t="s">
        <v>249</v>
      </c>
      <c r="F194" t="str">
        <f t="shared" si="8"/>
        <v>임베디드SW33정재훈</v>
      </c>
    </row>
    <row r="195" spans="1:6" x14ac:dyDescent="0.4">
      <c r="A195" t="str">
        <f t="shared" si="7"/>
        <v>임베디드SW</v>
      </c>
      <c r="B195">
        <v>3</v>
      </c>
      <c r="C195">
        <v>3</v>
      </c>
      <c r="D195">
        <v>14</v>
      </c>
      <c r="E195" t="s">
        <v>250</v>
      </c>
      <c r="F195" t="str">
        <f t="shared" si="8"/>
        <v>임베디드SW33정현욱</v>
      </c>
    </row>
    <row r="196" spans="1:6" x14ac:dyDescent="0.4">
      <c r="A196" t="str">
        <f t="shared" si="7"/>
        <v>임베디드SW</v>
      </c>
      <c r="B196">
        <v>3</v>
      </c>
      <c r="C196">
        <v>3</v>
      </c>
      <c r="D196">
        <v>15</v>
      </c>
      <c r="E196" t="s">
        <v>251</v>
      </c>
      <c r="F196" t="str">
        <f t="shared" si="8"/>
        <v>임베디드SW33지다민</v>
      </c>
    </row>
    <row r="197" spans="1:6" x14ac:dyDescent="0.4">
      <c r="A197" t="str">
        <f t="shared" si="7"/>
        <v>임베디드SW</v>
      </c>
      <c r="B197">
        <v>3</v>
      </c>
      <c r="C197">
        <v>3</v>
      </c>
      <c r="D197">
        <v>16</v>
      </c>
      <c r="E197" t="s">
        <v>252</v>
      </c>
      <c r="F197" t="str">
        <f t="shared" si="8"/>
        <v>임베디드SW33진시윤</v>
      </c>
    </row>
    <row r="198" spans="1:6" x14ac:dyDescent="0.4">
      <c r="A198" t="str">
        <f t="shared" si="7"/>
        <v>임베디드SW</v>
      </c>
      <c r="B198">
        <v>3</v>
      </c>
      <c r="C198">
        <v>3</v>
      </c>
      <c r="D198">
        <v>17</v>
      </c>
      <c r="E198" t="s">
        <v>253</v>
      </c>
      <c r="F198" t="str">
        <f t="shared" si="8"/>
        <v>임베디드SW33최강민</v>
      </c>
    </row>
    <row r="199" spans="1:6" x14ac:dyDescent="0.4">
      <c r="A199" t="str">
        <f t="shared" si="7"/>
        <v>임베디드SW</v>
      </c>
      <c r="B199">
        <v>3</v>
      </c>
      <c r="C199">
        <v>3</v>
      </c>
      <c r="D199">
        <v>18</v>
      </c>
      <c r="E199" t="s">
        <v>254</v>
      </c>
      <c r="F199" t="str">
        <f t="shared" si="8"/>
        <v>임베디드SW33최준성</v>
      </c>
    </row>
    <row r="200" spans="1:6" x14ac:dyDescent="0.4">
      <c r="A200" t="str">
        <f t="shared" si="7"/>
        <v>임베디드SW</v>
      </c>
      <c r="B200">
        <v>3</v>
      </c>
      <c r="C200">
        <v>4</v>
      </c>
      <c r="D200">
        <v>1</v>
      </c>
      <c r="E200" t="s">
        <v>255</v>
      </c>
      <c r="F200" t="str">
        <f t="shared" si="8"/>
        <v>임베디드SW34김건우</v>
      </c>
    </row>
    <row r="201" spans="1:6" x14ac:dyDescent="0.4">
      <c r="A201" t="str">
        <f t="shared" si="7"/>
        <v>임베디드SW</v>
      </c>
      <c r="B201">
        <v>3</v>
      </c>
      <c r="C201">
        <v>4</v>
      </c>
      <c r="D201">
        <v>2</v>
      </c>
      <c r="E201" t="s">
        <v>256</v>
      </c>
      <c r="F201" t="str">
        <f t="shared" si="8"/>
        <v>임베디드SW34김성길</v>
      </c>
    </row>
    <row r="202" spans="1:6" x14ac:dyDescent="0.4">
      <c r="A202" t="str">
        <f t="shared" si="7"/>
        <v>임베디드SW</v>
      </c>
      <c r="B202">
        <v>3</v>
      </c>
      <c r="C202">
        <v>4</v>
      </c>
      <c r="D202">
        <v>3</v>
      </c>
      <c r="E202" t="s">
        <v>257</v>
      </c>
      <c r="F202" t="str">
        <f t="shared" si="8"/>
        <v>임베디드SW34김현복</v>
      </c>
    </row>
    <row r="203" spans="1:6" x14ac:dyDescent="0.4">
      <c r="A203" t="str">
        <f t="shared" si="7"/>
        <v>임베디드SW</v>
      </c>
      <c r="B203">
        <v>3</v>
      </c>
      <c r="C203">
        <v>4</v>
      </c>
      <c r="D203">
        <v>4</v>
      </c>
      <c r="E203" t="s">
        <v>258</v>
      </c>
      <c r="F203" t="str">
        <f t="shared" si="8"/>
        <v>임베디드SW34김형호</v>
      </c>
    </row>
    <row r="204" spans="1:6" x14ac:dyDescent="0.4">
      <c r="A204" t="str">
        <f t="shared" si="7"/>
        <v>임베디드SW</v>
      </c>
      <c r="B204">
        <v>3</v>
      </c>
      <c r="C204">
        <v>4</v>
      </c>
      <c r="D204">
        <v>5</v>
      </c>
      <c r="E204" t="s">
        <v>259</v>
      </c>
      <c r="F204" t="str">
        <f t="shared" si="8"/>
        <v>임베디드SW34박명균</v>
      </c>
    </row>
    <row r="205" spans="1:6" x14ac:dyDescent="0.4">
      <c r="A205" t="str">
        <f t="shared" si="7"/>
        <v>임베디드SW</v>
      </c>
      <c r="B205">
        <v>3</v>
      </c>
      <c r="C205">
        <v>4</v>
      </c>
      <c r="D205">
        <v>6</v>
      </c>
      <c r="E205" t="s">
        <v>260</v>
      </c>
      <c r="F205" t="str">
        <f t="shared" si="8"/>
        <v>임베디드SW34박연우</v>
      </c>
    </row>
    <row r="206" spans="1:6" x14ac:dyDescent="0.4">
      <c r="A206" t="str">
        <f t="shared" si="7"/>
        <v>임베디드SW</v>
      </c>
      <c r="B206">
        <v>3</v>
      </c>
      <c r="C206">
        <v>4</v>
      </c>
      <c r="D206">
        <v>7</v>
      </c>
      <c r="E206" t="s">
        <v>261</v>
      </c>
      <c r="F206" t="str">
        <f t="shared" si="8"/>
        <v>임베디드SW34신태윤</v>
      </c>
    </row>
    <row r="207" spans="1:6" x14ac:dyDescent="0.4">
      <c r="A207" t="str">
        <f t="shared" si="7"/>
        <v>임베디드SW</v>
      </c>
      <c r="B207">
        <v>3</v>
      </c>
      <c r="C207">
        <v>4</v>
      </c>
      <c r="D207">
        <v>8</v>
      </c>
      <c r="E207" t="s">
        <v>262</v>
      </c>
      <c r="F207" t="str">
        <f t="shared" si="8"/>
        <v>임베디드SW34안진형</v>
      </c>
    </row>
    <row r="208" spans="1:6" x14ac:dyDescent="0.4">
      <c r="A208" t="str">
        <f t="shared" si="7"/>
        <v>임베디드SW</v>
      </c>
      <c r="B208">
        <v>3</v>
      </c>
      <c r="C208">
        <v>4</v>
      </c>
      <c r="D208">
        <v>9</v>
      </c>
      <c r="E208" t="s">
        <v>263</v>
      </c>
      <c r="F208" t="str">
        <f t="shared" si="8"/>
        <v>임베디드SW34양세련</v>
      </c>
    </row>
    <row r="209" spans="1:6" x14ac:dyDescent="0.4">
      <c r="A209" t="str">
        <f t="shared" si="7"/>
        <v>임베디드SW</v>
      </c>
      <c r="B209">
        <v>3</v>
      </c>
      <c r="C209">
        <v>4</v>
      </c>
      <c r="D209">
        <v>10</v>
      </c>
      <c r="E209" t="s">
        <v>264</v>
      </c>
      <c r="F209" t="str">
        <f t="shared" si="8"/>
        <v>임베디드SW34오종진</v>
      </c>
    </row>
    <row r="210" spans="1:6" x14ac:dyDescent="0.4">
      <c r="A210" t="str">
        <f t="shared" ref="A210:A216" si="9">IF(C210&lt;3,"SW개발","임베디드SW")</f>
        <v>임베디드SW</v>
      </c>
      <c r="B210">
        <v>3</v>
      </c>
      <c r="C210">
        <v>4</v>
      </c>
      <c r="D210">
        <v>11</v>
      </c>
      <c r="E210" t="s">
        <v>265</v>
      </c>
      <c r="F210" t="str">
        <f t="shared" si="8"/>
        <v>임베디드SW34이시완</v>
      </c>
    </row>
    <row r="211" spans="1:6" x14ac:dyDescent="0.4">
      <c r="A211" t="str">
        <f t="shared" si="9"/>
        <v>임베디드SW</v>
      </c>
      <c r="B211">
        <v>3</v>
      </c>
      <c r="C211">
        <v>4</v>
      </c>
      <c r="D211">
        <v>12</v>
      </c>
      <c r="E211" t="s">
        <v>266</v>
      </c>
      <c r="F211" t="str">
        <f t="shared" si="8"/>
        <v>임베디드SW34임가람</v>
      </c>
    </row>
    <row r="212" spans="1:6" x14ac:dyDescent="0.4">
      <c r="A212" t="str">
        <f t="shared" si="9"/>
        <v>임베디드SW</v>
      </c>
      <c r="B212">
        <v>3</v>
      </c>
      <c r="C212">
        <v>4</v>
      </c>
      <c r="D212">
        <v>13</v>
      </c>
      <c r="E212" t="s">
        <v>267</v>
      </c>
      <c r="F212" t="str">
        <f t="shared" si="8"/>
        <v>임베디드SW34임준화</v>
      </c>
    </row>
    <row r="213" spans="1:6" x14ac:dyDescent="0.4">
      <c r="A213" t="str">
        <f t="shared" si="9"/>
        <v>임베디드SW</v>
      </c>
      <c r="B213">
        <v>3</v>
      </c>
      <c r="C213">
        <v>4</v>
      </c>
      <c r="D213">
        <v>14</v>
      </c>
      <c r="E213" t="s">
        <v>268</v>
      </c>
      <c r="F213" t="str">
        <f t="shared" si="8"/>
        <v>임베디드SW34정다온</v>
      </c>
    </row>
    <row r="214" spans="1:6" x14ac:dyDescent="0.4">
      <c r="A214" t="str">
        <f t="shared" si="9"/>
        <v>임베디드SW</v>
      </c>
      <c r="B214">
        <v>3</v>
      </c>
      <c r="C214">
        <v>4</v>
      </c>
      <c r="D214">
        <v>15</v>
      </c>
      <c r="E214" t="s">
        <v>269</v>
      </c>
      <c r="F214" t="str">
        <f t="shared" si="8"/>
        <v>임베디드SW34정세은</v>
      </c>
    </row>
    <row r="215" spans="1:6" x14ac:dyDescent="0.4">
      <c r="A215" t="str">
        <f t="shared" si="9"/>
        <v>임베디드SW</v>
      </c>
      <c r="B215">
        <v>3</v>
      </c>
      <c r="C215">
        <v>4</v>
      </c>
      <c r="D215">
        <v>16</v>
      </c>
      <c r="E215" t="s">
        <v>270</v>
      </c>
      <c r="F215" t="str">
        <f t="shared" si="8"/>
        <v>임베디드SW34조윤겸</v>
      </c>
    </row>
    <row r="216" spans="1:6" x14ac:dyDescent="0.4">
      <c r="A216" t="str">
        <f t="shared" si="9"/>
        <v>임베디드SW</v>
      </c>
      <c r="B216">
        <v>3</v>
      </c>
      <c r="C216">
        <v>4</v>
      </c>
      <c r="D216">
        <v>17</v>
      </c>
      <c r="E216" t="s">
        <v>271</v>
      </c>
      <c r="F216" t="str">
        <f t="shared" si="8"/>
        <v>임베디드SW34주현호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신청서</vt:lpstr>
      <vt:lpstr>담임및학과</vt:lpstr>
      <vt:lpstr>데이터</vt:lpstr>
      <vt:lpstr>신청서!Print_Area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jmjeong</dc:creator>
  <cp:lastModifiedBy>user</cp:lastModifiedBy>
  <cp:lastPrinted>2022-01-04T03:48:25Z</cp:lastPrinted>
  <dcterms:created xsi:type="dcterms:W3CDTF">2020-11-24T04:56:57Z</dcterms:created>
  <dcterms:modified xsi:type="dcterms:W3CDTF">2023-06-10T12:46:50Z</dcterms:modified>
</cp:coreProperties>
</file>